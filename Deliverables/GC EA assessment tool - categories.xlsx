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color rgb="006B6B6B"/>
      <sz val="9"/>
    </font>
    <font>
      <name val="Calibri"/>
      <b val="1"/>
      <color rgb="0031445C"/>
      <sz val="13"/>
    </font>
    <font>
      <name val="Calibri"/>
      <b val="1"/>
      <color rgb="00FFFFFF"/>
      <sz val="10.5"/>
    </font>
    <font>
      <name val="Calibri"/>
      <b val="1"/>
      <color rgb="001A1A1A"/>
      <sz val="10.5"/>
    </font>
    <font>
      <name val="Calibri"/>
      <b val="1"/>
      <sz val="10.5"/>
    </font>
    <font>
      <name val="Calibri"/>
      <b val="1"/>
      <color rgb="0031445C"/>
      <sz val="12"/>
    </font>
    <font>
      <name val="Calibri"/>
      <b val="1"/>
      <color rgb="0031445C"/>
      <sz val="14"/>
    </font>
    <font>
      <name val="Calibri"/>
      <b val="1"/>
      <sz val="12"/>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3" borderId="0" pivotButton="0" quotePrefix="0" xfId="0"/>
    <xf numFmtId="0" fontId="9" fillId="3" borderId="0" applyAlignment="1" pivotButton="0" quotePrefix="0" xfId="0">
      <alignment horizontal="center" vertical="center"/>
    </xf>
    <xf numFmtId="9" fontId="13" fillId="3" borderId="0" applyAlignment="1" pivotButton="0" quotePrefix="0" xfId="0">
      <alignment horizontal="center" vertical="center"/>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7" fillId="0" borderId="1" applyAlignment="1" pivotButton="0" quotePrefix="0" xfId="0">
      <alignment vertical="center"/>
    </xf>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9" fillId="4" borderId="1" pivotButton="0" quotePrefix="0" xfId="0"/>
    <xf numFmtId="0" fontId="0" fillId="4" borderId="1" pivotButton="0" quotePrefix="0" xfId="0"/>
    <xf numFmtId="0" fontId="14" fillId="4" borderId="1" applyAlignment="1" pivotButton="0" quotePrefix="0" xfId="0">
      <alignment horizontal="center" vertical="center"/>
    </xf>
    <xf numFmtId="0" fontId="13" fillId="4" borderId="1" pivotButton="0" quotePrefix="0" xfId="0"/>
    <xf numFmtId="0" fontId="8" fillId="2" borderId="1" pivotButton="0" quotePrefix="0" xfId="0"/>
    <xf numFmtId="0" fontId="15" fillId="5" borderId="1" applyAlignment="1" pivotButton="0" quotePrefix="0" xfId="0">
      <alignment horizontal="center" vertical="center"/>
    </xf>
    <xf numFmtId="0" fontId="15" fillId="6" borderId="1" applyAlignment="1" pivotButton="0" quotePrefix="0" xfId="0">
      <alignment horizontal="center" vertical="center"/>
    </xf>
    <xf numFmtId="0" fontId="15" fillId="7" borderId="1" applyAlignment="1" pivotButton="0" quotePrefix="0" xfId="0">
      <alignment horizontal="center" vertical="center"/>
    </xf>
    <xf numFmtId="0" fontId="15" fillId="8" borderId="1" applyAlignment="1" pivotButton="0" quotePrefix="0" xfId="0">
      <alignment horizontal="center" vertical="center"/>
    </xf>
    <xf numFmtId="0" fontId="16" fillId="9" borderId="1" applyAlignment="1" pivotButton="0" quotePrefix="0" xfId="0">
      <alignment horizontal="center" vertical="center"/>
    </xf>
    <xf numFmtId="0" fontId="16" fillId="10" borderId="1" applyAlignment="1" pivotButton="0" quotePrefix="0" xfId="0">
      <alignment horizontal="center" vertical="center"/>
    </xf>
    <xf numFmtId="0" fontId="16" fillId="11" borderId="1" applyAlignment="1" pivotButton="0" quotePrefix="0" xfId="0">
      <alignment horizontal="center" vertical="center"/>
    </xf>
    <xf numFmtId="0" fontId="15" fillId="12" borderId="1" applyAlignment="1" pivotButton="0" quotePrefix="0" xfId="0">
      <alignment horizontal="center" vertical="center"/>
    </xf>
    <xf numFmtId="0" fontId="15" fillId="13" borderId="1" applyAlignment="1" pivotButton="0" quotePrefix="0" xfId="0">
      <alignment horizontal="center" vertical="center"/>
    </xf>
    <xf numFmtId="0" fontId="15" fillId="14" borderId="1" applyAlignment="1" pivotButton="0" quotePrefix="0" xfId="0">
      <alignment horizontal="center" vertical="center"/>
    </xf>
    <xf numFmtId="0" fontId="15" fillId="15" borderId="1" applyAlignment="1" pivotButton="0" quotePrefix="0" xfId="0">
      <alignment horizontal="center" vertical="center"/>
    </xf>
    <xf numFmtId="0" fontId="17" fillId="0" borderId="0" applyAlignment="1" pivotButton="0" quotePrefix="0" xfId="0">
      <alignment vertical="top" wrapText="1"/>
    </xf>
    <xf numFmtId="0" fontId="18" fillId="0" borderId="1" applyAlignment="1" pivotButton="0" quotePrefix="0" xfId="0">
      <alignment horizontal="center" vertical="center"/>
    </xf>
    <xf numFmtId="0" fontId="17" fillId="0" borderId="1" applyAlignment="1" pivotButton="0" quotePrefix="0" xfId="0">
      <alignment vertical="top" wrapText="1"/>
    </xf>
    <xf numFmtId="0" fontId="19" fillId="0" borderId="1" applyAlignment="1" pivotButton="0" quotePrefix="0" xfId="0">
      <alignment horizontal="center" vertical="center"/>
    </xf>
    <xf numFmtId="0" fontId="20" fillId="0" borderId="1" applyAlignment="1" pivotButton="0" quotePrefix="0" xfId="0">
      <alignment vertical="top" wrapText="1"/>
    </xf>
    <xf numFmtId="0" fontId="2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c r="B4" s="11" t="n"/>
      <c r="C4" s="11" t="n"/>
      <c r="D4" s="11" t="n"/>
      <c r="E4" s="11" t="n"/>
      <c r="F4" s="12">
        <f>IFERROR(ROUND(AVERAGE(F5:F18),1),"")</f>
        <v/>
      </c>
      <c r="G4" s="13" t="n">
        <v>0.05</v>
      </c>
      <c r="H4" s="11" t="n"/>
    </row>
    <row r="5">
      <c r="A5" s="14" t="inlineStr">
        <is>
          <t>S1</t>
        </is>
      </c>
      <c r="B5" s="14" t="inlineStr">
        <is>
          <t>Q1</t>
        </is>
      </c>
      <c r="C5" s="15" t="inlineStr">
        <is>
          <t>How thoroughly has the current state of this solution been documented, including all processes, data flows, and system dependencies?</t>
        </is>
      </c>
      <c r="D5" s="16" t="n"/>
      <c r="E5" s="17" t="inlineStr">
        <is>
          <t>Scale 0-10</t>
        </is>
      </c>
      <c r="F5" s="18" t="n"/>
      <c r="G5" s="19">
        <f>IF(OR(F5="",NOT(ISNUMBER(F5))),"",IFERROR(VLOOKUP(F5,'Assessment Scale'!$A$3:$C$13,3,FALSE),""))</f>
        <v/>
      </c>
      <c r="H5" s="18" t="n"/>
    </row>
    <row r="6">
      <c r="A6" s="14" t="inlineStr"/>
      <c r="B6" s="14" t="inlineStr">
        <is>
          <t>Q2</t>
        </is>
      </c>
      <c r="C6" s="15" t="inlineStr">
        <is>
          <t>What entities (data objects, records, clients, files) are currently produced, managed, or maintained by this solution?</t>
        </is>
      </c>
      <c r="D6" s="16" t="n"/>
      <c r="E6" s="17" t="inlineStr">
        <is>
          <t>Scale 0-10</t>
        </is>
      </c>
      <c r="F6" s="18" t="n"/>
      <c r="G6" s="19">
        <f>IF(OR(F6="",NOT(ISNUMBER(F6))),"",IFERROR(VLOOKUP(F6,'Assessment Scale'!$A$3:$C$13,3,FALSE),""))</f>
        <v/>
      </c>
      <c r="H6" s="18" t="n"/>
    </row>
    <row r="7">
      <c r="A7" s="14" t="inlineStr"/>
      <c r="B7" s="14" t="inlineStr">
        <is>
          <t>Q3</t>
        </is>
      </c>
      <c r="C7" s="15" t="inlineStr">
        <is>
          <t>Have all roles and responsibilities across stakeholders, operators, and service consumers been identified, documented, and formally accepted?</t>
        </is>
      </c>
      <c r="D7" s="16" t="n"/>
      <c r="E7" s="17" t="inlineStr">
        <is>
          <t>Scale 0-10</t>
        </is>
      </c>
      <c r="F7" s="18" t="n"/>
      <c r="G7" s="19">
        <f>IF(OR(F7="",NOT(ISNUMBER(F7))),"",IFERROR(VLOOKUP(F7,'Assessment Scale'!$A$3:$C$13,3,FALSE),""))</f>
        <v/>
      </c>
      <c r="H7" s="18" t="n"/>
    </row>
    <row r="8">
      <c r="A8" s="14" t="inlineStr"/>
      <c r="B8" s="14" t="inlineStr">
        <is>
          <t>Q4</t>
        </is>
      </c>
      <c r="C8" s="15" t="inlineStr">
        <is>
          <t>How well understood is the criticality of this solution to Government of Canada program delivery and citizen outcomes?</t>
        </is>
      </c>
      <c r="D8" s="16" t="n"/>
      <c r="E8" s="17" t="inlineStr">
        <is>
          <t>Scale 0-10</t>
        </is>
      </c>
      <c r="F8" s="18" t="n"/>
      <c r="G8" s="19">
        <f>IF(OR(F8="",NOT(ISNUMBER(F8))),"",IFERROR(VLOOKUP(F8,'Assessment Scale'!$A$3:$C$13,3,FALSE),""))</f>
        <v/>
      </c>
      <c r="H8" s="18" t="n"/>
    </row>
    <row r="9">
      <c r="A9" s="14" t="inlineStr"/>
      <c r="B9" s="14" t="inlineStr">
        <is>
          <t>Q5</t>
        </is>
      </c>
      <c r="C9" s="15" t="inlineStr">
        <is>
          <t>Are all sub-components of the current solution assessed for their individual criticality, availability, and risk exposure?</t>
        </is>
      </c>
      <c r="D9" s="16" t="n"/>
      <c r="E9" s="17" t="inlineStr">
        <is>
          <t>Scale 0-10</t>
        </is>
      </c>
      <c r="F9" s="18" t="n"/>
      <c r="G9" s="19">
        <f>IF(OR(F9="",NOT(ISNUMBER(F9))),"",IFERROR(VLOOKUP(F9,'Assessment Scale'!$A$3:$C$13,3,FALSE),""))</f>
        <v/>
      </c>
      <c r="H9" s="18" t="n"/>
    </row>
    <row r="10">
      <c r="A10" s="14" t="inlineStr"/>
      <c r="B10" s="14" t="inlineStr">
        <is>
          <t>Q6</t>
        </is>
      </c>
      <c r="C10" s="15" t="inlineStr">
        <is>
          <t>What is the current level of utilization and demand for the solution (transaction volumes, active users, peak load)?</t>
        </is>
      </c>
      <c r="D10" s="16" t="n"/>
      <c r="E10" s="17" t="inlineStr">
        <is>
          <t>Scale 0-10</t>
        </is>
      </c>
      <c r="F10" s="18" t="n"/>
      <c r="G10" s="19">
        <f>IF(OR(F10="",NOT(ISNUMBER(F10))),"",IFERROR(VLOOKUP(F10,'Assessment Scale'!$A$3:$C$13,3,FALSE),""))</f>
        <v/>
      </c>
      <c r="H10" s="18" t="n"/>
    </row>
    <row r="11">
      <c r="A11" s="14" t="inlineStr"/>
      <c r="B11" s="14" t="inlineStr">
        <is>
          <t>Q7</t>
        </is>
      </c>
      <c r="C11" s="15" t="inlineStr">
        <is>
          <t>What is the known availability, uptime, and service continuity record of the current solution?</t>
        </is>
      </c>
      <c r="D11" s="16" t="n"/>
      <c r="E11" s="17" t="inlineStr">
        <is>
          <t>Scale 0-10</t>
        </is>
      </c>
      <c r="F11" s="18" t="n"/>
      <c r="G11" s="19">
        <f>IF(OR(F11="",NOT(ISNUMBER(F11))),"",IFERROR(VLOOKUP(F11,'Assessment Scale'!$A$3:$C$13,3,FALSE),""))</f>
        <v/>
      </c>
      <c r="H11" s="18" t="n"/>
    </row>
    <row r="12">
      <c r="A12" s="14" t="inlineStr"/>
      <c r="B12" s="14" t="inlineStr">
        <is>
          <t>Q8</t>
        </is>
      </c>
      <c r="C12" s="15" t="inlineStr">
        <is>
          <t>How well understood are the total lifecycle costs — including build, operate, maintain, and decommission — of the current solution?</t>
        </is>
      </c>
      <c r="D12" s="20" t="inlineStr">
        <is>
          <t>Financial</t>
        </is>
      </c>
      <c r="E12" s="17" t="inlineStr">
        <is>
          <t>Scale 0-10</t>
        </is>
      </c>
      <c r="F12" s="18" t="n"/>
      <c r="G12" s="19">
        <f>IF(OR(F12="",NOT(ISNUMBER(F12))),"",IFERROR(VLOOKUP(F12,'Assessment Scale'!$A$3:$C$13,3,FALSE),""))</f>
        <v/>
      </c>
      <c r="H12" s="18" t="n"/>
    </row>
    <row r="13">
      <c r="A13" s="14" t="inlineStr"/>
      <c r="B13" s="14" t="inlineStr">
        <is>
          <t>Q9</t>
        </is>
      </c>
      <c r="C13" s="15" t="inlineStr">
        <is>
          <t>What are the current unit economics (cost per transaction, cost per entity managed) and how are they tracked?</t>
        </is>
      </c>
      <c r="D13" s="20" t="inlineStr">
        <is>
          <t>Financial</t>
        </is>
      </c>
      <c r="E13" s="17" t="inlineStr">
        <is>
          <t>Scale 0-10</t>
        </is>
      </c>
      <c r="F13" s="18" t="n"/>
      <c r="G13" s="19">
        <f>IF(OR(F13="",NOT(ISNUMBER(F13))),"",IFERROR(VLOOKUP(F13,'Assessment Scale'!$A$3:$C$13,3,FALSE),""))</f>
        <v/>
      </c>
      <c r="H13" s="18" t="n"/>
    </row>
    <row r="14">
      <c r="A14" s="14" t="inlineStr"/>
      <c r="B14" s="14" t="inlineStr">
        <is>
          <t>Q10</t>
        </is>
      </c>
      <c r="C14" s="15" t="inlineStr">
        <is>
          <t>How mature and current are the performance indicators for this solution, and what trends do they reflect?</t>
        </is>
      </c>
      <c r="D14" s="16" t="n"/>
      <c r="E14" s="17" t="inlineStr">
        <is>
          <t>Scale 0-10</t>
        </is>
      </c>
      <c r="F14" s="18" t="n"/>
      <c r="G14" s="19">
        <f>IF(OR(F14="",NOT(ISNUMBER(F14))),"",IFERROR(VLOOKUP(F14,'Assessment Scale'!$A$3:$C$13,3,FALSE),""))</f>
        <v/>
      </c>
      <c r="H14" s="18" t="n"/>
    </row>
    <row r="15">
      <c r="A15" s="14" t="inlineStr"/>
      <c r="B15" s="14" t="inlineStr">
        <is>
          <t>Q11</t>
        </is>
      </c>
      <c r="C15" s="15" t="inlineStr">
        <is>
          <t>Is the lifespan and full lifecycle of the solution mapped out, and is the current position within that lifecycle known?</t>
        </is>
      </c>
      <c r="D15" s="16" t="n"/>
      <c r="E15" s="17" t="inlineStr">
        <is>
          <t>Scale 0-10</t>
        </is>
      </c>
      <c r="F15" s="18" t="n"/>
      <c r="G15" s="19">
        <f>IF(OR(F15="",NOT(ISNUMBER(F15))),"",IFERROR(VLOOKUP(F15,'Assessment Scale'!$A$3:$C$13,3,FALSE),""))</f>
        <v/>
      </c>
      <c r="H15" s="18" t="n"/>
    </row>
    <row r="16">
      <c r="A16" s="14" t="inlineStr"/>
      <c r="B16" s="14" t="inlineStr">
        <is>
          <t>Q12</t>
        </is>
      </c>
      <c r="C16" s="15" t="inlineStr">
        <is>
          <t>What major events (technology refresh, contract renewal, legislative changes) are on the horizon for this solution?</t>
        </is>
      </c>
      <c r="D16" s="16" t="n"/>
      <c r="E16" s="17" t="inlineStr">
        <is>
          <t>Scale 0-10</t>
        </is>
      </c>
      <c r="F16" s="18" t="n"/>
      <c r="G16" s="19">
        <f>IF(OR(F16="",NOT(ISNUMBER(F16))),"",IFERROR(VLOOKUP(F16,'Assessment Scale'!$A$3:$C$13,3,FALSE),""))</f>
        <v/>
      </c>
      <c r="H16" s="18" t="n"/>
    </row>
    <row r="17">
      <c r="A17" s="14" t="inlineStr"/>
      <c r="B17" s="14" t="inlineStr">
        <is>
          <t>Q13</t>
        </is>
      </c>
      <c r="C17" s="15" t="inlineStr">
        <is>
          <t>How well understood are the specific skills, staffing levels, and capacity requirements to operate and evolve this solution?</t>
        </is>
      </c>
      <c r="D17" s="16" t="n"/>
      <c r="E17" s="17" t="inlineStr">
        <is>
          <t>Scale 0-10</t>
        </is>
      </c>
      <c r="F17" s="18" t="n"/>
      <c r="G17" s="19">
        <f>IF(OR(F17="",NOT(ISNUMBER(F17))),"",IFERROR(VLOOKUP(F17,'Assessment Scale'!$A$3:$C$13,3,FALSE),""))</f>
        <v/>
      </c>
      <c r="H17" s="18" t="n"/>
    </row>
    <row r="18">
      <c r="A18" s="14" t="inlineStr"/>
      <c r="B18" s="14" t="inlineStr">
        <is>
          <t>Q14</t>
        </is>
      </c>
      <c r="C18" s="15" t="inlineStr">
        <is>
          <t>How are universal requirements — accessibility, official languages, inclusion, and privacy — currently addressed in the solution?</t>
        </is>
      </c>
      <c r="D18" s="20" t="inlineStr">
        <is>
          <t>Privacy, Accessibility, Official Languages</t>
        </is>
      </c>
      <c r="E18" s="17" t="inlineStr">
        <is>
          <t>Scale 0-10</t>
        </is>
      </c>
      <c r="F18" s="18" t="n"/>
      <c r="G18" s="19">
        <f>IF(OR(F18="",NOT(ISNUMBER(F18))),"",IFERROR(VLOOKUP(F18,'Assessment Scale'!$A$3:$C$13,3,FALSE),""))</f>
        <v/>
      </c>
      <c r="H18" s="18" t="n"/>
    </row>
    <row r="19" ht="24" customHeight="1">
      <c r="A19" s="10" t="inlineStr">
        <is>
          <t>Defining the Business Solution — Section weight: 25%</t>
        </is>
      </c>
      <c r="B19" s="11" t="n"/>
      <c r="C19" s="11" t="n"/>
      <c r="D19" s="11" t="n"/>
      <c r="E19" s="11" t="n"/>
      <c r="F19" s="12">
        <f>IFERROR(ROUND(AVERAGE(F20:F32),1),"")</f>
        <v/>
      </c>
      <c r="G19" s="13" t="n">
        <v>0.25</v>
      </c>
      <c r="H19" s="11" t="n"/>
    </row>
    <row r="20">
      <c r="A20" s="14" t="inlineStr">
        <is>
          <t>S2</t>
        </is>
      </c>
      <c r="B20" s="14" t="inlineStr">
        <is>
          <t>Q15</t>
        </is>
      </c>
      <c r="C20" s="15" t="inlineStr">
        <is>
          <t>How clearly and completely has the core business problem been defined and agreed upon by all stakeholders?</t>
        </is>
      </c>
      <c r="D20" s="16" t="n"/>
      <c r="E20" s="17" t="inlineStr">
        <is>
          <t>Scale 0-10</t>
        </is>
      </c>
      <c r="F20" s="18" t="n"/>
      <c r="G20" s="19">
        <f>IF(OR(F20="",NOT(ISNUMBER(F20))),"",IFERROR(VLOOKUP(F20,'Assessment Scale'!$A$3:$C$13,3,FALSE),""))</f>
        <v/>
      </c>
      <c r="H20" s="18" t="n"/>
    </row>
    <row r="21">
      <c r="A21" s="14" t="inlineStr"/>
      <c r="B21" s="14" t="inlineStr">
        <is>
          <t>Q16</t>
        </is>
      </c>
      <c r="C21" s="15" t="inlineStr">
        <is>
          <t>Is there a documented business case that articulates the expected value, outcomes, and measurable benefits of the proposed solution?</t>
        </is>
      </c>
      <c r="D21" s="20" t="inlineStr">
        <is>
          <t>Financial</t>
        </is>
      </c>
      <c r="E21" s="17" t="inlineStr">
        <is>
          <t>Scale 0-10</t>
        </is>
      </c>
      <c r="F21" s="18" t="n"/>
      <c r="G21" s="19">
        <f>IF(OR(F21="",NOT(ISNUMBER(F21))),"",IFERROR(VLOOKUP(F21,'Assessment Scale'!$A$3:$C$13,3,FALSE),""))</f>
        <v/>
      </c>
      <c r="H21" s="18" t="n"/>
    </row>
    <row r="22">
      <c r="A22" s="14" t="inlineStr"/>
      <c r="B22" s="14" t="inlineStr">
        <is>
          <t>Q17</t>
        </is>
      </c>
      <c r="C22" s="15" t="inlineStr">
        <is>
          <t>How well do the proposed solution capabilities map to the GC Business Capability Model and existing enterprise services?</t>
        </is>
      </c>
      <c r="D22" s="16" t="n"/>
      <c r="E22" s="17" t="inlineStr">
        <is>
          <t>Scale 0-10</t>
        </is>
      </c>
      <c r="F22" s="18" t="n"/>
      <c r="G22" s="19">
        <f>IF(OR(F22="",NOT(ISNUMBER(F22))),"",IFERROR(VLOOKUP(F22,'Assessment Scale'!$A$3:$C$13,3,FALSE),""))</f>
        <v/>
      </c>
      <c r="H22" s="18" t="n"/>
    </row>
    <row r="23">
      <c r="A23" s="14" t="inlineStr"/>
      <c r="B23" s="14" t="inlineStr">
        <is>
          <t>Q18</t>
        </is>
      </c>
      <c r="C23" s="15" t="inlineStr">
        <is>
          <t>Have value streams been fully mapped, showing how business capabilities deliver outcomes to clients and citizens?</t>
        </is>
      </c>
      <c r="D23" s="16" t="n"/>
      <c r="E23" s="17" t="inlineStr">
        <is>
          <t>Scale 0-10</t>
        </is>
      </c>
      <c r="F23" s="18" t="n"/>
      <c r="G23" s="19">
        <f>IF(OR(F23="",NOT(ISNUMBER(F23))),"",IFERROR(VLOOKUP(F23,'Assessment Scale'!$A$3:$C$13,3,FALSE),""))</f>
        <v/>
      </c>
      <c r="H23" s="18" t="n"/>
    </row>
    <row r="24">
      <c r="A24" s="14" t="inlineStr"/>
      <c r="B24" s="14" t="inlineStr">
        <is>
          <t>Q19</t>
        </is>
      </c>
      <c r="C24" s="15" t="inlineStr">
        <is>
          <t>Is the solution design driven by defined user personas, journeys, and evidence-based user research?</t>
        </is>
      </c>
      <c r="D24" s="16" t="n"/>
      <c r="E24" s="17" t="inlineStr">
        <is>
          <t>Scale 0-10</t>
        </is>
      </c>
      <c r="F24" s="18" t="n"/>
      <c r="G24" s="19">
        <f>IF(OR(F24="",NOT(ISNUMBER(F24))),"",IFERROR(VLOOKUP(F24,'Assessment Scale'!$A$3:$C$13,3,FALSE),""))</f>
        <v/>
      </c>
      <c r="H24" s="18" t="n"/>
    </row>
    <row r="25">
      <c r="A25" s="14" t="inlineStr"/>
      <c r="B25" s="14" t="inlineStr">
        <is>
          <t>Q20</t>
        </is>
      </c>
      <c r="C25" s="15" t="inlineStr">
        <is>
          <t>How clearly are the target service levels, response times, and quality benchmarks defined for the proposed solution?</t>
        </is>
      </c>
      <c r="D25" s="16" t="n"/>
      <c r="E25" s="17" t="inlineStr">
        <is>
          <t>Scale 0-10</t>
        </is>
      </c>
      <c r="F25" s="18" t="n"/>
      <c r="G25" s="19">
        <f>IF(OR(F25="",NOT(ISNUMBER(F25))),"",IFERROR(VLOOKUP(F25,'Assessment Scale'!$A$3:$C$13,3,FALSE),""))</f>
        <v/>
      </c>
      <c r="H25" s="18" t="n"/>
    </row>
    <row r="26">
      <c r="A26" s="14" t="inlineStr"/>
      <c r="B26" s="14" t="inlineStr">
        <is>
          <t>Q21</t>
        </is>
      </c>
      <c r="C26" s="15" t="inlineStr">
        <is>
          <t>Has the solution's criticality to GC program delivery been assessed, and does the architecture reflect that criticality?</t>
        </is>
      </c>
      <c r="D26" s="16" t="n"/>
      <c r="E26" s="17" t="inlineStr">
        <is>
          <t>Scale 0-10</t>
        </is>
      </c>
      <c r="F26" s="18" t="n"/>
      <c r="G26" s="19">
        <f>IF(OR(F26="",NOT(ISNUMBER(F26))),"",IFERROR(VLOOKUP(F26,'Assessment Scale'!$A$3:$C$13,3,FALSE),""))</f>
        <v/>
      </c>
      <c r="H26" s="18" t="n"/>
    </row>
    <row r="27">
      <c r="A27" s="14" t="inlineStr"/>
      <c r="B27" s="14" t="inlineStr">
        <is>
          <t>Q22</t>
        </is>
      </c>
      <c r="C27" s="15" t="inlineStr">
        <is>
          <t>Is there a funding model and sourcing strategy that is sustainable across the full lifecycle of the solution?</t>
        </is>
      </c>
      <c r="D27" s="20" t="inlineStr">
        <is>
          <t>Financial</t>
        </is>
      </c>
      <c r="E27" s="17" t="inlineStr">
        <is>
          <t>Scale 0-10</t>
        </is>
      </c>
      <c r="F27" s="18" t="n"/>
      <c r="G27" s="19">
        <f>IF(OR(F27="",NOT(ISNUMBER(F27))),"",IFERROR(VLOOKUP(F27,'Assessment Scale'!$A$3:$C$13,3,FALSE),""))</f>
        <v/>
      </c>
      <c r="H27" s="18" t="n"/>
    </row>
    <row r="28">
      <c r="A28" s="14" t="inlineStr"/>
      <c r="B28" s="14" t="inlineStr">
        <is>
          <t>Q23</t>
        </is>
      </c>
      <c r="C28" s="15" t="inlineStr">
        <is>
          <t>How well is the talent strategy defined, including required skills, existing capacity, training pipeline, and long-term retention?</t>
        </is>
      </c>
      <c r="D28" s="16" t="n"/>
      <c r="E28" s="17" t="inlineStr">
        <is>
          <t>Scale 0-10</t>
        </is>
      </c>
      <c r="F28" s="18" t="n"/>
      <c r="G28" s="19">
        <f>IF(OR(F28="",NOT(ISNUMBER(F28))),"",IFERROR(VLOOKUP(F28,'Assessment Scale'!$A$3:$C$13,3,FALSE),""))</f>
        <v/>
      </c>
      <c r="H28" s="18" t="n"/>
    </row>
    <row r="29">
      <c r="A29" s="14" t="inlineStr"/>
      <c r="B29" s="14" t="inlineStr">
        <is>
          <t>Q24</t>
        </is>
      </c>
      <c r="C29" s="15" t="inlineStr">
        <is>
          <t>Is a demand forecast available, and does the solution design account for projected growth and usage variability?</t>
        </is>
      </c>
      <c r="D29" s="16" t="n"/>
      <c r="E29" s="17" t="inlineStr">
        <is>
          <t>Scale 0-10</t>
        </is>
      </c>
      <c r="F29" s="18" t="n"/>
      <c r="G29" s="19">
        <f>IF(OR(F29="",NOT(ISNUMBER(F29))),"",IFERROR(VLOOKUP(F29,'Assessment Scale'!$A$3:$C$13,3,FALSE),""))</f>
        <v/>
      </c>
      <c r="H29" s="18" t="n"/>
    </row>
    <row r="30">
      <c r="A30" s="14" t="inlineStr"/>
      <c r="B30" s="14" t="inlineStr">
        <is>
          <t>Q25</t>
        </is>
      </c>
      <c r="C30" s="15" t="inlineStr">
        <is>
          <t>How well is the solution integrated within the broader GC enterprise ecosystem and aligned with whole-of-government priorities?</t>
        </is>
      </c>
      <c r="D30" s="16" t="n"/>
      <c r="E30" s="17" t="inlineStr">
        <is>
          <t>Scale 0-10</t>
        </is>
      </c>
      <c r="F30" s="18" t="n"/>
      <c r="G30" s="19">
        <f>IF(OR(F30="",NOT(ISNUMBER(F30))),"",IFERROR(VLOOKUP(F30,'Assessment Scale'!$A$3:$C$13,3,FALSE),""))</f>
        <v/>
      </c>
      <c r="H30" s="18" t="n"/>
    </row>
    <row r="31">
      <c r="A31" s="14" t="inlineStr"/>
      <c r="B31" s="14" t="inlineStr">
        <is>
          <t>Q26</t>
        </is>
      </c>
      <c r="C31" s="15" t="inlineStr">
        <is>
          <t>Is the solution designed to maximize reuse of existing GC shared services and platforms before building new capabilities?</t>
        </is>
      </c>
      <c r="D31" s="16" t="n"/>
      <c r="E31" s="17" t="inlineStr">
        <is>
          <t>Scale 0-10</t>
        </is>
      </c>
      <c r="F31" s="18" t="n"/>
      <c r="G31" s="19">
        <f>IF(OR(F31="",NOT(ISNUMBER(F31))),"",IFERROR(VLOOKUP(F31,'Assessment Scale'!$A$3:$C$13,3,FALSE),""))</f>
        <v/>
      </c>
      <c r="H31" s="18" t="n"/>
    </row>
    <row r="32">
      <c r="A32" s="14" t="inlineStr"/>
      <c r="B32" s="14" t="inlineStr">
        <is>
          <t>Q27</t>
        </is>
      </c>
      <c r="C32" s="15" t="inlineStr">
        <is>
          <t>How transparent is the solution design — is it documented, accessible, and understandable to those who rely on it?</t>
        </is>
      </c>
      <c r="D32" s="16" t="n"/>
      <c r="E32" s="17" t="inlineStr">
        <is>
          <t>Scale 0-10</t>
        </is>
      </c>
      <c r="F32" s="18" t="n"/>
      <c r="G32" s="19">
        <f>IF(OR(F32="",NOT(ISNUMBER(F32))),"",IFERROR(VLOOKUP(F32,'Assessment Scale'!$A$3:$C$13,3,FALSE),""))</f>
        <v/>
      </c>
      <c r="H32" s="18" t="n"/>
    </row>
    <row r="33" ht="24" customHeight="1">
      <c r="A33" s="10" t="inlineStr">
        <is>
          <t>Demonstrated Engagement — Section weight: 10%</t>
        </is>
      </c>
      <c r="B33" s="11" t="n"/>
      <c r="C33" s="11" t="n"/>
      <c r="D33" s="11" t="n"/>
      <c r="E33" s="11" t="n"/>
      <c r="F33" s="12">
        <f>IFERROR(ROUND(AVERAGE(F34:F42),1),"")</f>
        <v/>
      </c>
      <c r="G33" s="13" t="n">
        <v>0.1</v>
      </c>
      <c r="H33" s="11" t="n"/>
    </row>
    <row r="34">
      <c r="A34" s="14" t="inlineStr">
        <is>
          <t>S3</t>
        </is>
      </c>
      <c r="B34" s="14" t="inlineStr">
        <is>
          <t>Q28</t>
        </is>
      </c>
      <c r="C34" s="15" t="inlineStr">
        <is>
          <t>Have user personas, stories, and journeys been mapped and validated through direct engagement with actual users and stakeholders?</t>
        </is>
      </c>
      <c r="D34" s="16" t="n"/>
      <c r="E34" s="17" t="inlineStr">
        <is>
          <t>Scale 0-10</t>
        </is>
      </c>
      <c r="F34" s="18" t="n"/>
      <c r="G34" s="19">
        <f>IF(OR(F34="",NOT(ISNUMBER(F34))),"",IFERROR(VLOOKUP(F34,'Assessment Scale'!$A$3:$C$13,3,FALSE),""))</f>
        <v/>
      </c>
      <c r="H34" s="18" t="n"/>
    </row>
    <row r="35">
      <c r="A35" s="14" t="inlineStr"/>
      <c r="B35" s="14" t="inlineStr">
        <is>
          <t>Q29</t>
        </is>
      </c>
      <c r="C35" s="15" t="inlineStr">
        <is>
          <t>Are there formal, repeatable mechanisms to capture client, user, and stakeholder needs on a continuous basis?</t>
        </is>
      </c>
      <c r="D35" s="16" t="n"/>
      <c r="E35" s="17" t="inlineStr">
        <is>
          <t>Scale 0-10</t>
        </is>
      </c>
      <c r="F35" s="18" t="n"/>
      <c r="G35" s="19">
        <f>IF(OR(F35="",NOT(ISNUMBER(F35))),"",IFERROR(VLOOKUP(F35,'Assessment Scale'!$A$3:$C$13,3,FALSE),""))</f>
        <v/>
      </c>
      <c r="H35" s="18" t="n"/>
    </row>
    <row r="36">
      <c r="A36" s="14" t="inlineStr"/>
      <c r="B36" s="14" t="inlineStr">
        <is>
          <t>Q30</t>
        </is>
      </c>
      <c r="C36" s="15" t="inlineStr">
        <is>
          <t>How mature are feedback loops between the delivery team and end users, including Communities of Practice and regular reviews?</t>
        </is>
      </c>
      <c r="D36" s="16" t="n"/>
      <c r="E36" s="17" t="inlineStr">
        <is>
          <t>Scale 0-10</t>
        </is>
      </c>
      <c r="F36" s="18" t="n"/>
      <c r="G36" s="19">
        <f>IF(OR(F36="",NOT(ISNUMBER(F36))),"",IFERROR(VLOOKUP(F36,'Assessment Scale'!$A$3:$C$13,3,FALSE),""))</f>
        <v/>
      </c>
      <c r="H36" s="18" t="n"/>
    </row>
    <row r="37">
      <c r="A37" s="14" t="inlineStr"/>
      <c r="B37" s="14" t="inlineStr">
        <is>
          <t>Q31</t>
        </is>
      </c>
      <c r="C37" s="15" t="inlineStr">
        <is>
          <t>Are all roles, accountabilities, and decision rights across the solution ecosystem clearly documented in a RACI or equivalent model?</t>
        </is>
      </c>
      <c r="D37" s="16" t="n"/>
      <c r="E37" s="17" t="inlineStr">
        <is>
          <t>Scale 0-10</t>
        </is>
      </c>
      <c r="F37" s="18" t="n"/>
      <c r="G37" s="19">
        <f>IF(OR(F37="",NOT(ISNUMBER(F37))),"",IFERROR(VLOOKUP(F37,'Assessment Scale'!$A$3:$C$13,3,FALSE),""))</f>
        <v/>
      </c>
      <c r="H37" s="18" t="n"/>
    </row>
    <row r="38">
      <c r="A38" s="14" t="inlineStr"/>
      <c r="B38" s="14" t="inlineStr">
        <is>
          <t>Q32</t>
        </is>
      </c>
      <c r="C38" s="15" t="inlineStr">
        <is>
          <t>Is solution documentation, interactive guidance, and self-service assistance available and actively maintained for all user types?</t>
        </is>
      </c>
      <c r="D38" s="16" t="n"/>
      <c r="E38" s="17" t="inlineStr">
        <is>
          <t>Scale 0-10</t>
        </is>
      </c>
      <c r="F38" s="18" t="n"/>
      <c r="G38" s="19">
        <f>IF(OR(F38="",NOT(ISNUMBER(F38))),"",IFERROR(VLOOKUP(F38,'Assessment Scale'!$A$3:$C$13,3,FALSE),""))</f>
        <v/>
      </c>
      <c r="H38" s="18" t="n"/>
    </row>
    <row r="39">
      <c r="A39" s="14" t="inlineStr"/>
      <c r="B39" s="14" t="inlineStr">
        <is>
          <t>Q33</t>
        </is>
      </c>
      <c r="C39" s="15" t="inlineStr">
        <is>
          <t>How transparent is the operational status of the solution, including an offering roadmap and historical event schedule?</t>
        </is>
      </c>
      <c r="D39" s="16" t="n"/>
      <c r="E39" s="17" t="inlineStr">
        <is>
          <t>Scale 0-10</t>
        </is>
      </c>
      <c r="F39" s="18" t="n"/>
      <c r="G39" s="19">
        <f>IF(OR(F39="",NOT(ISNUMBER(F39))),"",IFERROR(VLOOKUP(F39,'Assessment Scale'!$A$3:$C$13,3,FALSE),""))</f>
        <v/>
      </c>
      <c r="H39" s="18" t="n"/>
    </row>
    <row r="40">
      <c r="A40" s="14" t="inlineStr"/>
      <c r="B40" s="14" t="inlineStr">
        <is>
          <t>Q34</t>
        </is>
      </c>
      <c r="C40" s="15" t="inlineStr">
        <is>
          <t>Are performance metrics (NPS, CSAT, CES, usage rates, drop-off rates) defined, measured, and reported back to stakeholders?</t>
        </is>
      </c>
      <c r="D40" s="16" t="n"/>
      <c r="E40" s="17" t="inlineStr">
        <is>
          <t>Scale 0-10</t>
        </is>
      </c>
      <c r="F40" s="18" t="n"/>
      <c r="G40" s="19">
        <f>IF(OR(F40="",NOT(ISNUMBER(F40))),"",IFERROR(VLOOKUP(F40,'Assessment Scale'!$A$3:$C$13,3,FALSE),""))</f>
        <v/>
      </c>
      <c r="H40" s="18" t="n"/>
    </row>
    <row r="41">
      <c r="A41" s="14" t="inlineStr"/>
      <c r="B41" s="14" t="inlineStr">
        <is>
          <t>Q35</t>
        </is>
      </c>
      <c r="C41" s="15" t="inlineStr">
        <is>
          <t>Does the solution support multi-channel delivery patterns (web, chat, phone, in-person) that reflect real user demand?</t>
        </is>
      </c>
      <c r="D41" s="16" t="n"/>
      <c r="E41" s="17" t="inlineStr">
        <is>
          <t>Scale 0-10</t>
        </is>
      </c>
      <c r="F41" s="18" t="n"/>
      <c r="G41" s="19">
        <f>IF(OR(F41="",NOT(ISNUMBER(F41))),"",IFERROR(VLOOKUP(F41,'Assessment Scale'!$A$3:$C$13,3,FALSE),""))</f>
        <v/>
      </c>
      <c r="H41" s="18" t="n"/>
    </row>
    <row r="42">
      <c r="A42" s="14" t="inlineStr"/>
      <c r="B42" s="14" t="inlineStr">
        <is>
          <t>Q36</t>
        </is>
      </c>
      <c r="C42" s="15" t="inlineStr">
        <is>
          <t>How mature are personalization, predictive analytics, or AI-assisted capabilities within the solution offering?</t>
        </is>
      </c>
      <c r="D42" s="16" t="n"/>
      <c r="E42" s="17" t="inlineStr">
        <is>
          <t>Scale 0-10</t>
        </is>
      </c>
      <c r="F42" s="18" t="n"/>
      <c r="G42" s="19">
        <f>IF(OR(F42="",NOT(ISNUMBER(F42))),"",IFERROR(VLOOKUP(F42,'Assessment Scale'!$A$3:$C$13,3,FALSE),""))</f>
        <v/>
      </c>
      <c r="H42" s="18" t="n"/>
    </row>
    <row r="43" ht="24" customHeight="1">
      <c r="A43" s="10" t="inlineStr">
        <is>
          <t>Calculated, Measured &amp; Transparent Performance &amp; Value — Section weight: 10%</t>
        </is>
      </c>
      <c r="B43" s="11" t="n"/>
      <c r="C43" s="11" t="n"/>
      <c r="D43" s="11" t="n"/>
      <c r="E43" s="11" t="n"/>
      <c r="F43" s="12">
        <f>IFERROR(ROUND(AVERAGE(F44:F51),1),"")</f>
        <v/>
      </c>
      <c r="G43" s="13" t="n">
        <v>0.1</v>
      </c>
      <c r="H43" s="11" t="n"/>
    </row>
    <row r="44">
      <c r="A44" s="14" t="inlineStr">
        <is>
          <t>S4</t>
        </is>
      </c>
      <c r="B44" s="14" t="inlineStr">
        <is>
          <t>Q37</t>
        </is>
      </c>
      <c r="C44" s="15" t="inlineStr">
        <is>
          <t>Are Service Level Objectives (SLOs) and Service Level Agreements (SLAs) formally defined, monitored, and reported?</t>
        </is>
      </c>
      <c r="D44" s="16" t="n"/>
      <c r="E44" s="17" t="inlineStr">
        <is>
          <t>Scale 0-10</t>
        </is>
      </c>
      <c r="F44" s="18" t="n"/>
      <c r="G44" s="19">
        <f>IF(OR(F44="",NOT(ISNUMBER(F44))),"",IFERROR(VLOOKUP(F44,'Assessment Scale'!$A$3:$C$13,3,FALSE),""))</f>
        <v/>
      </c>
      <c r="H44" s="18" t="n"/>
    </row>
    <row r="45">
      <c r="A45" s="14" t="inlineStr"/>
      <c r="B45" s="14" t="inlineStr">
        <is>
          <t>Q38</t>
        </is>
      </c>
      <c r="C45" s="15" t="inlineStr">
        <is>
          <t>Is there end-to-end instrumentation of delivery processes, enabling real-time performance monitoring and visualization?</t>
        </is>
      </c>
      <c r="D45" s="16" t="n"/>
      <c r="E45" s="17" t="inlineStr">
        <is>
          <t>Scale 0-10</t>
        </is>
      </c>
      <c r="F45" s="18" t="n"/>
      <c r="G45" s="19">
        <f>IF(OR(F45="",NOT(ISNUMBER(F45))),"",IFERROR(VLOOKUP(F45,'Assessment Scale'!$A$3:$C$13,3,FALSE),""))</f>
        <v/>
      </c>
      <c r="H45" s="18" t="n"/>
    </row>
    <row r="46">
      <c r="A46" s="14" t="inlineStr"/>
      <c r="B46" s="14" t="inlineStr">
        <is>
          <t>Q39</t>
        </is>
      </c>
      <c r="C46" s="15" t="inlineStr">
        <is>
          <t>How well are costs, prices, and unit economics tracked and published, enabling informed investment decisions?</t>
        </is>
      </c>
      <c r="D46" s="20" t="inlineStr">
        <is>
          <t>Financial</t>
        </is>
      </c>
      <c r="E46" s="17" t="inlineStr">
        <is>
          <t>Scale 0-10</t>
        </is>
      </c>
      <c r="F46" s="18" t="n"/>
      <c r="G46" s="19">
        <f>IF(OR(F46="",NOT(ISNUMBER(F46))),"",IFERROR(VLOOKUP(F46,'Assessment Scale'!$A$3:$C$13,3,FALSE),""))</f>
        <v/>
      </c>
      <c r="H46" s="18" t="n"/>
    </row>
    <row r="47">
      <c r="A47" s="14" t="inlineStr"/>
      <c r="B47" s="14" t="inlineStr">
        <is>
          <t>Q40</t>
        </is>
      </c>
      <c r="C47" s="15" t="inlineStr">
        <is>
          <t>Are client satisfaction scores (CSAT, NPS, or equivalent) captured systematically and acted upon?</t>
        </is>
      </c>
      <c r="D47" s="16" t="n"/>
      <c r="E47" s="17" t="inlineStr">
        <is>
          <t>Scale 0-10</t>
        </is>
      </c>
      <c r="F47" s="18" t="n"/>
      <c r="G47" s="19">
        <f>IF(OR(F47="",NOT(ISNUMBER(F47))),"",IFERROR(VLOOKUP(F47,'Assessment Scale'!$A$3:$C$13,3,FALSE),""))</f>
        <v/>
      </c>
      <c r="H47" s="18" t="n"/>
    </row>
    <row r="48">
      <c r="A48" s="14" t="inlineStr"/>
      <c r="B48" s="14" t="inlineStr">
        <is>
          <t>Q41</t>
        </is>
      </c>
      <c r="C48" s="15" t="inlineStr">
        <is>
          <t>How are quality and error rates measured, tracked, and used to drive continuous improvement?</t>
        </is>
      </c>
      <c r="D48" s="16" t="n"/>
      <c r="E48" s="17" t="inlineStr">
        <is>
          <t>Scale 0-10</t>
        </is>
      </c>
      <c r="F48" s="18" t="n"/>
      <c r="G48" s="19">
        <f>IF(OR(F48="",NOT(ISNUMBER(F48))),"",IFERROR(VLOOKUP(F48,'Assessment Scale'!$A$3:$C$13,3,FALSE),""))</f>
        <v/>
      </c>
      <c r="H48" s="18" t="n"/>
    </row>
    <row r="49">
      <c r="A49" s="14" t="inlineStr"/>
      <c r="B49" s="14" t="inlineStr">
        <is>
          <t>Q42</t>
        </is>
      </c>
      <c r="C49" s="15" t="inlineStr">
        <is>
          <t>Are response times, total transaction times, and execution time variance measured and within defined thresholds?</t>
        </is>
      </c>
      <c r="D49" s="16" t="n"/>
      <c r="E49" s="17" t="inlineStr">
        <is>
          <t>Scale 0-10</t>
        </is>
      </c>
      <c r="F49" s="18" t="n"/>
      <c r="G49" s="19">
        <f>IF(OR(F49="",NOT(ISNUMBER(F49))),"",IFERROR(VLOOKUP(F49,'Assessment Scale'!$A$3:$C$13,3,FALSE),""))</f>
        <v/>
      </c>
      <c r="H49" s="18" t="n"/>
    </row>
    <row r="50">
      <c r="A50" s="14" t="inlineStr"/>
      <c r="B50" s="14" t="inlineStr">
        <is>
          <t>Q43</t>
        </is>
      </c>
      <c r="C50" s="15" t="inlineStr">
        <is>
          <t>Is trend analysis performed regularly on key metrics to anticipate performance changes and drive proactive action?</t>
        </is>
      </c>
      <c r="D50" s="16" t="n"/>
      <c r="E50" s="17" t="inlineStr">
        <is>
          <t>Scale 0-10</t>
        </is>
      </c>
      <c r="F50" s="18" t="n"/>
      <c r="G50" s="19">
        <f>IF(OR(F50="",NOT(ISNUMBER(F50))),"",IFERROR(VLOOKUP(F50,'Assessment Scale'!$A$3:$C$13,3,FALSE),""))</f>
        <v/>
      </c>
      <c r="H50" s="18" t="n"/>
    </row>
    <row r="51">
      <c r="A51" s="14" t="inlineStr"/>
      <c r="B51" s="14" t="inlineStr">
        <is>
          <t>Q44</t>
        </is>
      </c>
      <c r="C51" s="15" t="inlineStr">
        <is>
          <t>Are periodic evaluations of continuing business need performed to assess whether the solution still justifies its cost?</t>
        </is>
      </c>
      <c r="D51" s="20" t="inlineStr">
        <is>
          <t>Financial</t>
        </is>
      </c>
      <c r="E51" s="17" t="inlineStr">
        <is>
          <t>Scale 0-10</t>
        </is>
      </c>
      <c r="F51" s="18" t="n"/>
      <c r="G51" s="19">
        <f>IF(OR(F51="",NOT(ISNUMBER(F51))),"",IFERROR(VLOOKUP(F51,'Assessment Scale'!$A$3:$C$13,3,FALSE),""))</f>
        <v/>
      </c>
      <c r="H51" s="18" t="n"/>
    </row>
    <row r="52" ht="24" customHeight="1">
      <c r="A52" s="10" t="inlineStr">
        <is>
          <t>Operational Readiness — Section weight: 10%</t>
        </is>
      </c>
      <c r="B52" s="11" t="n"/>
      <c r="C52" s="11" t="n"/>
      <c r="D52" s="11" t="n"/>
      <c r="E52" s="11" t="n"/>
      <c r="F52" s="12">
        <f>IFERROR(ROUND(AVERAGE(F53:F60),1),"")</f>
        <v/>
      </c>
      <c r="G52" s="13" t="n">
        <v>0.1</v>
      </c>
      <c r="H52" s="11" t="n"/>
    </row>
    <row r="53">
      <c r="A53" s="14" t="inlineStr">
        <is>
          <t>S5</t>
        </is>
      </c>
      <c r="B53" s="14" t="inlineStr">
        <is>
          <t>Q45</t>
        </is>
      </c>
      <c r="C53" s="15" t="inlineStr">
        <is>
          <t>How well-defined is the delivery pipeline, including deployment cadence, automation, rollback procedures, and success rates?</t>
        </is>
      </c>
      <c r="D53" s="16" t="n"/>
      <c r="E53" s="17" t="inlineStr">
        <is>
          <t>Scale 0-10</t>
        </is>
      </c>
      <c r="F53" s="18" t="n"/>
      <c r="G53" s="19">
        <f>IF(OR(F53="",NOT(ISNUMBER(F53))),"",IFERROR(VLOOKUP(F53,'Assessment Scale'!$A$3:$C$13,3,FALSE),""))</f>
        <v/>
      </c>
      <c r="H53" s="18" t="n"/>
    </row>
    <row r="54">
      <c r="A54" s="14" t="inlineStr"/>
      <c r="B54" s="14" t="inlineStr">
        <is>
          <t>Q46</t>
        </is>
      </c>
      <c r="C54" s="15" t="inlineStr">
        <is>
          <t>Are skills requirements, staffing levels, and a training and improvement pipeline in place to sustain operations?</t>
        </is>
      </c>
      <c r="D54" s="16" t="n"/>
      <c r="E54" s="17" t="inlineStr">
        <is>
          <t>Scale 0-10</t>
        </is>
      </c>
      <c r="F54" s="18" t="n"/>
      <c r="G54" s="19">
        <f>IF(OR(F54="",NOT(ISNUMBER(F54))),"",IFERROR(VLOOKUP(F54,'Assessment Scale'!$A$3:$C$13,3,FALSE),""))</f>
        <v/>
      </c>
      <c r="H54" s="18" t="n"/>
    </row>
    <row r="55">
      <c r="A55" s="14" t="inlineStr"/>
      <c r="B55" s="14" t="inlineStr">
        <is>
          <t>Q47</t>
        </is>
      </c>
      <c r="C55" s="15" t="inlineStr">
        <is>
          <t>Is there an established and confirmed funding strategy, including lifecycle funding beyond the initial build phase?</t>
        </is>
      </c>
      <c r="D55" s="20" t="inlineStr">
        <is>
          <t>Financial</t>
        </is>
      </c>
      <c r="E55" s="17" t="inlineStr">
        <is>
          <t>Scale 0-10</t>
        </is>
      </c>
      <c r="F55" s="18" t="n"/>
      <c r="G55" s="19">
        <f>IF(OR(F55="",NOT(ISNUMBER(F55))),"",IFERROR(VLOOKUP(F55,'Assessment Scale'!$A$3:$C$13,3,FALSE),""))</f>
        <v/>
      </c>
      <c r="H55" s="18" t="n"/>
    </row>
    <row r="56">
      <c r="A56" s="14" t="inlineStr"/>
      <c r="B56" s="14" t="inlineStr">
        <is>
          <t>Q48</t>
        </is>
      </c>
      <c r="C56" s="15" t="inlineStr">
        <is>
          <t>How mature and tested is the incident management, business continuity, and disaster recovery planning for this solution?</t>
        </is>
      </c>
      <c r="D56" s="16" t="n"/>
      <c r="E56" s="17" t="inlineStr">
        <is>
          <t>Scale 0-10</t>
        </is>
      </c>
      <c r="F56" s="18" t="n"/>
      <c r="G56" s="19">
        <f>IF(OR(F56="",NOT(ISNUMBER(F56))),"",IFERROR(VLOOKUP(F56,'Assessment Scale'!$A$3:$C$13,3,FALSE),""))</f>
        <v/>
      </c>
      <c r="H56" s="18" t="n"/>
    </row>
    <row r="57">
      <c r="A57" s="14" t="inlineStr"/>
      <c r="B57" s="14" t="inlineStr">
        <is>
          <t>Q49</t>
        </is>
      </c>
      <c r="C57" s="15" t="inlineStr">
        <is>
          <t>Is the infrastructure and technology acquisition strategy defined, including procurement pathways and lead times?</t>
        </is>
      </c>
      <c r="D57" s="16" t="n"/>
      <c r="E57" s="17" t="inlineStr">
        <is>
          <t>Scale 0-10</t>
        </is>
      </c>
      <c r="F57" s="18" t="n"/>
      <c r="G57" s="19">
        <f>IF(OR(F57="",NOT(ISNUMBER(F57))),"",IFERROR(VLOOKUP(F57,'Assessment Scale'!$A$3:$C$13,3,FALSE),""))</f>
        <v/>
      </c>
      <c r="H57" s="18" t="n"/>
    </row>
    <row r="58">
      <c r="A58" s="14" t="inlineStr"/>
      <c r="B58" s="14" t="inlineStr">
        <is>
          <t>Q50</t>
        </is>
      </c>
      <c r="C58" s="15" t="inlineStr">
        <is>
          <t>Has a formal threat and risk assessment (including sovereignty and security classification) been completed and reviewed?</t>
        </is>
      </c>
      <c r="D58" s="20" t="inlineStr">
        <is>
          <t>Security</t>
        </is>
      </c>
      <c r="E58" s="21" t="inlineStr">
        <is>
          <t>Yes / No</t>
        </is>
      </c>
      <c r="F58" s="18" t="n"/>
      <c r="G58" s="19">
        <f>IF(OR(F58="",NOT(ISNUMBER(F58))),"",IFERROR(VLOOKUP(F58,'Assessment Scale'!$A$3:$C$13,3,FALSE),""))</f>
        <v/>
      </c>
      <c r="H58" s="18" t="n"/>
    </row>
    <row r="59">
      <c r="A59" s="14" t="inlineStr"/>
      <c r="B59" s="14" t="inlineStr">
        <is>
          <t>Q51</t>
        </is>
      </c>
      <c r="C59" s="15" t="inlineStr">
        <is>
          <t>How deep and well-prioritized is the feature and requirements backlog, and does it reflect validated stakeholder needs?</t>
        </is>
      </c>
      <c r="D59" s="16" t="n"/>
      <c r="E59" s="17" t="inlineStr">
        <is>
          <t>Scale 0-10</t>
        </is>
      </c>
      <c r="F59" s="18" t="n"/>
      <c r="G59" s="19">
        <f>IF(OR(F59="",NOT(ISNUMBER(F59))),"",IFERROR(VLOOKUP(F59,'Assessment Scale'!$A$3:$C$13,3,FALSE),""))</f>
        <v/>
      </c>
      <c r="H59" s="18" t="n"/>
    </row>
    <row r="60">
      <c r="A60" s="14" t="inlineStr"/>
      <c r="B60" s="14" t="inlineStr">
        <is>
          <t>Q52</t>
        </is>
      </c>
      <c r="C60" s="15" t="inlineStr">
        <is>
          <t>Are there operational runbooks, monitoring dashboards, and on-call processes in place to support production operations?</t>
        </is>
      </c>
      <c r="D60" s="16" t="n"/>
      <c r="E60" s="17" t="inlineStr">
        <is>
          <t>Scale 0-10</t>
        </is>
      </c>
      <c r="F60" s="18" t="n"/>
      <c r="G60" s="19">
        <f>IF(OR(F60="",NOT(ISNUMBER(F60))),"",IFERROR(VLOOKUP(F60,'Assessment Scale'!$A$3:$C$13,3,FALSE),""))</f>
        <v/>
      </c>
      <c r="H60" s="18" t="n"/>
    </row>
    <row r="61" ht="24" customHeight="1">
      <c r="A61" s="10" t="inlineStr">
        <is>
          <t>Governance &amp; Strategy — Section weight: 20%</t>
        </is>
      </c>
      <c r="B61" s="11" t="n"/>
      <c r="C61" s="11" t="n"/>
      <c r="D61" s="11" t="n"/>
      <c r="E61" s="11" t="n"/>
      <c r="F61" s="12">
        <f>IFERROR(ROUND(AVERAGE(F62:F70),1),"")</f>
        <v/>
      </c>
      <c r="G61" s="13" t="n">
        <v>0.2</v>
      </c>
      <c r="H61" s="11" t="n"/>
    </row>
    <row r="62">
      <c r="A62" s="14" t="inlineStr">
        <is>
          <t>S6</t>
        </is>
      </c>
      <c r="B62" s="14" t="inlineStr">
        <is>
          <t>Q53</t>
        </is>
      </c>
      <c r="C62" s="15" t="inlineStr">
        <is>
          <t>Is there a clearly defined governance model with accountable decision-makers for the solution's direction and performance?</t>
        </is>
      </c>
      <c r="D62" s="16" t="n"/>
      <c r="E62" s="17" t="inlineStr">
        <is>
          <t>Scale 0-10</t>
        </is>
      </c>
      <c r="F62" s="18" t="n"/>
      <c r="G62" s="19">
        <f>IF(OR(F62="",NOT(ISNUMBER(F62))),"",IFERROR(VLOOKUP(F62,'Assessment Scale'!$A$3:$C$13,3,FALSE),""))</f>
        <v/>
      </c>
      <c r="H62" s="18" t="n"/>
    </row>
    <row r="63">
      <c r="A63" s="14" t="inlineStr"/>
      <c r="B63" s="14" t="inlineStr">
        <is>
          <t>Q54</t>
        </is>
      </c>
      <c r="C63" s="15" t="inlineStr">
        <is>
          <t>How well does the solution align with the GC Digital Operations Strategic Plan and departmental enterprise strategy?</t>
        </is>
      </c>
      <c r="D63" s="16" t="n"/>
      <c r="E63" s="17" t="inlineStr">
        <is>
          <t>Scale 0-10</t>
        </is>
      </c>
      <c r="F63" s="18" t="n"/>
      <c r="G63" s="19">
        <f>IF(OR(F63="",NOT(ISNUMBER(F63))),"",IFERROR(VLOOKUP(F63,'Assessment Scale'!$A$3:$C$13,3,FALSE),""))</f>
        <v/>
      </c>
      <c r="H63" s="18" t="n"/>
    </row>
    <row r="64">
      <c r="A64" s="14" t="inlineStr"/>
      <c r="B64" s="14" t="inlineStr">
        <is>
          <t>Q55</t>
        </is>
      </c>
      <c r="C64" s="15" t="inlineStr">
        <is>
          <t>Is there a published roadmap with near, medium, and long-term milestones that is communicated to stakeholders?</t>
        </is>
      </c>
      <c r="D64" s="16" t="n"/>
      <c r="E64" s="21" t="inlineStr">
        <is>
          <t>Yes / No</t>
        </is>
      </c>
      <c r="F64" s="18" t="n"/>
      <c r="G64" s="19">
        <f>IF(OR(F64="",NOT(ISNUMBER(F64))),"",IFERROR(VLOOKUP(F64,'Assessment Scale'!$A$3:$C$13,3,FALSE),""))</f>
        <v/>
      </c>
      <c r="H64" s="18" t="n"/>
    </row>
    <row r="65">
      <c r="A65" s="14" t="inlineStr"/>
      <c r="B65" s="14" t="inlineStr">
        <is>
          <t>Q56</t>
        </is>
      </c>
      <c r="C65" s="15" t="inlineStr">
        <is>
          <t>How mature is the change management process, including impact assessment, approval workflows, and communication plans?</t>
        </is>
      </c>
      <c r="D65" s="16" t="n"/>
      <c r="E65" s="17" t="inlineStr">
        <is>
          <t>Scale 0-10</t>
        </is>
      </c>
      <c r="F65" s="18" t="n"/>
      <c r="G65" s="19">
        <f>IF(OR(F65="",NOT(ISNUMBER(F65))),"",IFERROR(VLOOKUP(F65,'Assessment Scale'!$A$3:$C$13,3,FALSE),""))</f>
        <v/>
      </c>
      <c r="H65" s="18" t="n"/>
    </row>
    <row r="66">
      <c r="A66" s="14" t="inlineStr"/>
      <c r="B66" s="14" t="inlineStr">
        <is>
          <t>Q57</t>
        </is>
      </c>
      <c r="C66" s="15" t="inlineStr">
        <is>
          <t>Are compliance requirements (legal, regulatory, policy, accessibility, bilingualism) formally tracked and verified?</t>
        </is>
      </c>
      <c r="D66" s="20" t="inlineStr">
        <is>
          <t>Accessibility, Official Languages</t>
        </is>
      </c>
      <c r="E66" s="17" t="inlineStr">
        <is>
          <t>Scale 0-10</t>
        </is>
      </c>
      <c r="F66" s="18" t="n"/>
      <c r="G66" s="19">
        <f>IF(OR(F66="",NOT(ISNUMBER(F66))),"",IFERROR(VLOOKUP(F66,'Assessment Scale'!$A$3:$C$13,3,FALSE),""))</f>
        <v/>
      </c>
      <c r="H66" s="18" t="n"/>
    </row>
    <row r="67">
      <c r="A67" s="14" t="inlineStr"/>
      <c r="B67" s="14" t="inlineStr">
        <is>
          <t>Q58</t>
        </is>
      </c>
      <c r="C67" s="15" t="inlineStr">
        <is>
          <t>Is there a formal risk register maintained for the solution, with assigned owners and documented mitigation strategies?</t>
        </is>
      </c>
      <c r="D67" s="16" t="n"/>
      <c r="E67" s="21" t="inlineStr">
        <is>
          <t>Yes / No</t>
        </is>
      </c>
      <c r="F67" s="18" t="n"/>
      <c r="G67" s="19">
        <f>IF(OR(F67="",NOT(ISNUMBER(F67))),"",IFERROR(VLOOKUP(F67,'Assessment Scale'!$A$3:$C$13,3,FALSE),""))</f>
        <v/>
      </c>
      <c r="H67" s="18" t="n"/>
    </row>
    <row r="68">
      <c r="A68" s="14" t="inlineStr"/>
      <c r="B68" s="14" t="inlineStr">
        <is>
          <t>Q59</t>
        </is>
      </c>
      <c r="C68" s="15" t="inlineStr">
        <is>
          <t>How well is vendor and third-party relationship governance defined, including performance monitoring and exit strategies?</t>
        </is>
      </c>
      <c r="D68" s="16" t="n"/>
      <c r="E68" s="17" t="inlineStr">
        <is>
          <t>Scale 0-10</t>
        </is>
      </c>
      <c r="F68" s="18" t="n"/>
      <c r="G68" s="19">
        <f>IF(OR(F68="",NOT(ISNUMBER(F68))),"",IFERROR(VLOOKUP(F68,'Assessment Scale'!$A$3:$C$13,3,FALSE),""))</f>
        <v/>
      </c>
      <c r="H68" s="18" t="n"/>
    </row>
    <row r="69">
      <c r="A69" s="14" t="inlineStr"/>
      <c r="B69" s="14" t="inlineStr">
        <is>
          <t>Q60</t>
        </is>
      </c>
      <c r="C69" s="15" t="inlineStr">
        <is>
          <t>Is there a documented and approved data governance model aligned with the solution's information and privacy requirements?</t>
        </is>
      </c>
      <c r="D69" s="20" t="inlineStr">
        <is>
          <t>Privacy</t>
        </is>
      </c>
      <c r="E69" s="17" t="inlineStr">
        <is>
          <t>Scale 0-10</t>
        </is>
      </c>
      <c r="F69" s="18" t="n"/>
      <c r="G69" s="19">
        <f>IF(OR(F69="",NOT(ISNUMBER(F69))),"",IFERROR(VLOOKUP(F69,'Assessment Scale'!$A$3:$C$13,3,FALSE),""))</f>
        <v/>
      </c>
      <c r="H69" s="18" t="n"/>
    </row>
    <row r="70">
      <c r="A70" s="14" t="inlineStr"/>
      <c r="B70" s="14" t="inlineStr">
        <is>
          <t>Q61</t>
        </is>
      </c>
      <c r="C70" s="15" t="inlineStr">
        <is>
          <t>How well does the solution contribute to GC-wide shared service consolidation and enterprise architecture objectives?</t>
        </is>
      </c>
      <c r="D70" s="16" t="n"/>
      <c r="E70" s="17" t="inlineStr">
        <is>
          <t>Scale 0-10</t>
        </is>
      </c>
      <c r="F70" s="18" t="n"/>
      <c r="G70" s="19">
        <f>IF(OR(F70="",NOT(ISNUMBER(F70))),"",IFERROR(VLOOKUP(F70,'Assessment Scale'!$A$3:$C$13,3,FALSE),""))</f>
        <v/>
      </c>
      <c r="H70" s="18" t="n"/>
    </row>
    <row r="72">
      <c r="A72" s="22" t="inlineStr">
        <is>
          <t>Domain score, weighted across the sections answered</t>
        </is>
      </c>
      <c r="B72" s="23" t="n"/>
      <c r="C72" s="23" t="n"/>
      <c r="D72" s="23" t="n"/>
      <c r="E72" s="23" t="n"/>
      <c r="F72" s="24">
        <f>IFERROR(ROUND((N(F4)*N(G4)+N(F19)*N(G19)+N(F33)*N(G33)+N(F43)*N(G43)+N(F52)*N(G52)+N(F61)*N(G61))/((F4&lt;&gt;"")*N(G4)+(F19&lt;&gt;"")*N(G19)+(F33&lt;&gt;"")*N(G33)+(F43&lt;&gt;"")*N(G43)+(F52&lt;&gt;"")*N(G52)+(F61&lt;&gt;"")*N(G61)),1),"")</f>
        <v/>
      </c>
      <c r="G72" s="25" t="inlineStr">
        <is>
          <t>out of 10</t>
        </is>
      </c>
      <c r="H72" s="23" t="n"/>
    </row>
  </sheetData>
  <mergeCells count="9">
    <mergeCell ref="A4:E4"/>
    <mergeCell ref="A43:E43"/>
    <mergeCell ref="A72:E72"/>
    <mergeCell ref="A52:E52"/>
    <mergeCell ref="A2:H2"/>
    <mergeCell ref="A33:E33"/>
    <mergeCell ref="A19:E19"/>
    <mergeCell ref="A1:H1"/>
    <mergeCell ref="A61:E61"/>
  </mergeCells>
  <dataValidations count="3">
    <dataValidation sqref="D4:D70"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1" allowBlank="1" promptTitle="Scale or yes-or-no?" prompt="How this question is answered. Ours, and provisional: change it if it reads wrong." type="list">
      <formula1>"Scale 0-10,Yes / No"</formula1>
    </dataValidation>
    <dataValidation sqref="F4:F70"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c r="B4" s="11" t="n"/>
      <c r="C4" s="11" t="n"/>
      <c r="D4" s="11" t="n"/>
      <c r="E4" s="11" t="n"/>
      <c r="F4" s="12">
        <f>IFERROR(ROUND(AVERAGE(F5:F13),1),"")</f>
        <v/>
      </c>
      <c r="G4" s="13" t="n">
        <v>0.1</v>
      </c>
      <c r="H4" s="11" t="n"/>
    </row>
    <row r="5">
      <c r="A5" s="14" t="inlineStr">
        <is>
          <t>S1</t>
        </is>
      </c>
      <c r="B5" s="14" t="inlineStr">
        <is>
          <t>Q1</t>
        </is>
      </c>
      <c r="C5" s="15" t="inlineStr">
        <is>
          <t>How well documented are current data models, entity relationships, and data-sharing agreements?</t>
        </is>
      </c>
      <c r="D5" s="16" t="n"/>
      <c r="E5" s="17" t="inlineStr">
        <is>
          <t>Scale 0-10</t>
        </is>
      </c>
      <c r="F5" s="18" t="n"/>
      <c r="G5" s="19">
        <f>IF(OR(F5="",NOT(ISNUMBER(F5))),"",IFERROR(VLOOKUP(F5,'Assessment Scale'!$A$3:$C$13,3,FALSE),""))</f>
        <v/>
      </c>
      <c r="H5" s="18" t="n"/>
    </row>
    <row r="6">
      <c r="A6" s="14" t="inlineStr"/>
      <c r="B6" s="14" t="inlineStr">
        <is>
          <t>Q2</t>
        </is>
      </c>
      <c r="C6" s="15" t="inlineStr">
        <is>
          <t>What is the degree of data fragmentation, duplication, and inconsistency across the current solution and its dependencies?</t>
        </is>
      </c>
      <c r="D6" s="16" t="n"/>
      <c r="E6" s="17" t="inlineStr">
        <is>
          <t>Scale 0-10</t>
        </is>
      </c>
      <c r="F6" s="18" t="n"/>
      <c r="G6" s="19">
        <f>IF(OR(F6="",NOT(ISNUMBER(F6))),"",IFERROR(VLOOKUP(F6,'Assessment Scale'!$A$3:$C$13,3,FALSE),""))</f>
        <v/>
      </c>
      <c r="H6" s="18" t="n"/>
    </row>
    <row r="7">
      <c r="A7" s="14" t="inlineStr"/>
      <c r="B7" s="14" t="inlineStr">
        <is>
          <t>Q3</t>
        </is>
      </c>
      <c r="C7" s="15" t="inlineStr">
        <is>
          <t>How well understood are data volumes, growth rates, residency requirements, and encryption posture?</t>
        </is>
      </c>
      <c r="D7" s="20" t="inlineStr">
        <is>
          <t>Security</t>
        </is>
      </c>
      <c r="E7" s="17" t="inlineStr">
        <is>
          <t>Scale 0-10</t>
        </is>
      </c>
      <c r="F7" s="18" t="n"/>
      <c r="G7" s="19">
        <f>IF(OR(F7="",NOT(ISNUMBER(F7))),"",IFERROR(VLOOKUP(F7,'Assessment Scale'!$A$3:$C$13,3,FALSE),""))</f>
        <v/>
      </c>
      <c r="H7" s="18" t="n"/>
    </row>
    <row r="8">
      <c r="A8" s="14" t="inlineStr"/>
      <c r="B8" s="14" t="inlineStr">
        <is>
          <t>Q4</t>
        </is>
      </c>
      <c r="C8" s="15" t="inlineStr">
        <is>
          <t>Is the lifespan and full data lifecycle — from creation to disposition — mapped and governed?</t>
        </is>
      </c>
      <c r="D8" s="16" t="n"/>
      <c r="E8" s="17" t="inlineStr">
        <is>
          <t>Scale 0-10</t>
        </is>
      </c>
      <c r="F8" s="18" t="n"/>
      <c r="G8" s="19">
        <f>IF(OR(F8="",NOT(ISNUMBER(F8))),"",IFERROR(VLOOKUP(F8,'Assessment Scale'!$A$3:$C$13,3,FALSE),""))</f>
        <v/>
      </c>
      <c r="H8" s="18" t="n"/>
    </row>
    <row r="9">
      <c r="A9" s="14" t="inlineStr"/>
      <c r="B9" s="14" t="inlineStr">
        <is>
          <t>Q5</t>
        </is>
      </c>
      <c r="C9" s="15" t="inlineStr">
        <is>
          <t>Are data formats proprietary or based on open, interoperable standards?</t>
        </is>
      </c>
      <c r="D9" s="16" t="n"/>
      <c r="E9" s="17" t="inlineStr">
        <is>
          <t>Scale 0-10</t>
        </is>
      </c>
      <c r="F9" s="18" t="n"/>
      <c r="G9" s="19">
        <f>IF(OR(F9="",NOT(ISNUMBER(F9))),"",IFERROR(VLOOKUP(F9,'Assessment Scale'!$A$3:$C$13,3,FALSE),""))</f>
        <v/>
      </c>
      <c r="H9" s="18" t="n"/>
    </row>
    <row r="10">
      <c r="A10" s="14" t="inlineStr"/>
      <c r="B10" s="14" t="inlineStr">
        <is>
          <t>Q6</t>
        </is>
      </c>
      <c r="C10" s="15" t="inlineStr">
        <is>
          <t>How open and transparent is data publication, and is a default-open approach applied where appropriate?</t>
        </is>
      </c>
      <c r="D10" s="16" t="n"/>
      <c r="E10" s="17" t="inlineStr">
        <is>
          <t>Scale 0-10</t>
        </is>
      </c>
      <c r="F10" s="18" t="n"/>
      <c r="G10" s="19">
        <f>IF(OR(F10="",NOT(ISNUMBER(F10))),"",IFERROR(VLOOKUP(F10,'Assessment Scale'!$A$3:$C$13,3,FALSE),""))</f>
        <v/>
      </c>
      <c r="H10" s="18" t="n"/>
    </row>
    <row r="11">
      <c r="A11" s="14" t="inlineStr"/>
      <c r="B11" s="14" t="inlineStr">
        <is>
          <t>Q7</t>
        </is>
      </c>
      <c r="C11" s="15" t="inlineStr">
        <is>
          <t>Are analytics and trend analysis capabilities available to support decision-making from current data assets?</t>
        </is>
      </c>
      <c r="D11" s="16" t="n"/>
      <c r="E11" s="17" t="inlineStr">
        <is>
          <t>Scale 0-10</t>
        </is>
      </c>
      <c r="F11" s="18" t="n"/>
      <c r="G11" s="19">
        <f>IF(OR(F11="",NOT(ISNUMBER(F11))),"",IFERROR(VLOOKUP(F11,'Assessment Scale'!$A$3:$C$13,3,FALSE),""))</f>
        <v/>
      </c>
      <c r="H11" s="18" t="n"/>
    </row>
    <row r="12">
      <c r="A12" s="14" t="inlineStr"/>
      <c r="B12" s="14" t="inlineStr">
        <is>
          <t>Q8</t>
        </is>
      </c>
      <c r="C12" s="15" t="inlineStr">
        <is>
          <t>How mature are data access controls, auditing mechanisms, and the ability to trace who accessed what and when?</t>
        </is>
      </c>
      <c r="D12" s="20" t="inlineStr">
        <is>
          <t>Security</t>
        </is>
      </c>
      <c r="E12" s="17" t="inlineStr">
        <is>
          <t>Scale 0-10</t>
        </is>
      </c>
      <c r="F12" s="18" t="n"/>
      <c r="G12" s="19">
        <f>IF(OR(F12="",NOT(ISNUMBER(F12))),"",IFERROR(VLOOKUP(F12,'Assessment Scale'!$A$3:$C$13,3,FALSE),""))</f>
        <v/>
      </c>
      <c r="H12" s="18" t="n"/>
    </row>
    <row r="13">
      <c r="A13" s="14" t="inlineStr"/>
      <c r="B13" s="14" t="inlineStr">
        <is>
          <t>Q9</t>
        </is>
      </c>
      <c r="C13" s="15" t="inlineStr">
        <is>
          <t>How interoperable is the current data environment with other GC systems, programs, and platforms?</t>
        </is>
      </c>
      <c r="D13" s="16" t="n"/>
      <c r="E13" s="17" t="inlineStr">
        <is>
          <t>Scale 0-10</t>
        </is>
      </c>
      <c r="F13" s="18" t="n"/>
      <c r="G13" s="19">
        <f>IF(OR(F13="",NOT(ISNUMBER(F13))),"",IFERROR(VLOOKUP(F13,'Assessment Scale'!$A$3:$C$13,3,FALSE),""))</f>
        <v/>
      </c>
      <c r="H13" s="18" t="n"/>
    </row>
    <row r="14" ht="24" customHeight="1">
      <c r="A14" s="10" t="inlineStr">
        <is>
          <t>Data Architecture &amp; Standards — Section weight: 40%</t>
        </is>
      </c>
      <c r="B14" s="11" t="n"/>
      <c r="C14" s="11" t="n"/>
      <c r="D14" s="11" t="n"/>
      <c r="E14" s="11" t="n"/>
      <c r="F14" s="12">
        <f>IFERROR(ROUND(AVERAGE(F15:F26),1),"")</f>
        <v/>
      </c>
      <c r="G14" s="13" t="n">
        <v>0.4</v>
      </c>
      <c r="H14" s="11" t="n"/>
    </row>
    <row r="15">
      <c r="A15" s="14" t="inlineStr">
        <is>
          <t>S2</t>
        </is>
      </c>
      <c r="B15" s="14" t="inlineStr">
        <is>
          <t>Q10</t>
        </is>
      </c>
      <c r="C15" s="15" t="inlineStr">
        <is>
          <t>Is there a formal, documented data model that reflects all key entities, relationships, attributes, and business rules?</t>
        </is>
      </c>
      <c r="D15" s="16" t="n"/>
      <c r="E15" s="17" t="inlineStr">
        <is>
          <t>Scale 0-10</t>
        </is>
      </c>
      <c r="F15" s="18" t="n"/>
      <c r="G15" s="19">
        <f>IF(OR(F15="",NOT(ISNUMBER(F15))),"",IFERROR(VLOOKUP(F15,'Assessment Scale'!$A$3:$C$13,3,FALSE),""))</f>
        <v/>
      </c>
      <c r="H15" s="18" t="n"/>
    </row>
    <row r="16">
      <c r="A16" s="14" t="inlineStr"/>
      <c r="B16" s="14" t="inlineStr">
        <is>
          <t>Q11</t>
        </is>
      </c>
      <c r="C16" s="15" t="inlineStr">
        <is>
          <t>How mature is master data management — are authoritative data sources identified, maintained, and trusted?</t>
        </is>
      </c>
      <c r="D16" s="16" t="n"/>
      <c r="E16" s="17" t="inlineStr">
        <is>
          <t>Scale 0-10</t>
        </is>
      </c>
      <c r="F16" s="18" t="n"/>
      <c r="G16" s="19">
        <f>IF(OR(F16="",NOT(ISNUMBER(F16))),"",IFERROR(VLOOKUP(F16,'Assessment Scale'!$A$3:$C$13,3,FALSE),""))</f>
        <v/>
      </c>
      <c r="H16" s="18" t="n"/>
    </row>
    <row r="17">
      <c r="A17" s="14" t="inlineStr"/>
      <c r="B17" s="14" t="inlineStr">
        <is>
          <t>Q12</t>
        </is>
      </c>
      <c r="C17" s="15" t="inlineStr">
        <is>
          <t>Is data lifecycle governance established, covering creation, versioning, archiving, and secure disposition?</t>
        </is>
      </c>
      <c r="D17" s="20" t="inlineStr">
        <is>
          <t>Security</t>
        </is>
      </c>
      <c r="E17" s="17" t="inlineStr">
        <is>
          <t>Scale 0-10</t>
        </is>
      </c>
      <c r="F17" s="18" t="n"/>
      <c r="G17" s="19">
        <f>IF(OR(F17="",NOT(ISNUMBER(F17))),"",IFERROR(VLOOKUP(F17,'Assessment Scale'!$A$3:$C$13,3,FALSE),""))</f>
        <v/>
      </c>
      <c r="H17" s="18" t="n"/>
    </row>
    <row r="18">
      <c r="A18" s="14" t="inlineStr"/>
      <c r="B18" s="14" t="inlineStr">
        <is>
          <t>Q13</t>
        </is>
      </c>
      <c r="C18" s="15" t="inlineStr">
        <is>
          <t>Are international and GC data standards applied (e.g., ISO, DCAT, NIEM, GC Open Data Directive)?</t>
        </is>
      </c>
      <c r="D18" s="16" t="n"/>
      <c r="E18" s="17" t="inlineStr">
        <is>
          <t>Scale 0-10</t>
        </is>
      </c>
      <c r="F18" s="18" t="n"/>
      <c r="G18" s="19">
        <f>IF(OR(F18="",NOT(ISNUMBER(F18))),"",IFERROR(VLOOKUP(F18,'Assessment Scale'!$A$3:$C$13,3,FALSE),""))</f>
        <v/>
      </c>
      <c r="H18" s="18" t="n"/>
    </row>
    <row r="19">
      <c r="A19" s="14" t="inlineStr"/>
      <c r="B19" s="14" t="inlineStr">
        <is>
          <t>Q14</t>
        </is>
      </c>
      <c r="C19" s="15" t="inlineStr">
        <is>
          <t>How well defined is data lineage — can the origin, transformation, and movement of data be traced end-to-end?</t>
        </is>
      </c>
      <c r="D19" s="16" t="n"/>
      <c r="E19" s="17" t="inlineStr">
        <is>
          <t>Scale 0-10</t>
        </is>
      </c>
      <c r="F19" s="18" t="n"/>
      <c r="G19" s="19">
        <f>IF(OR(F19="",NOT(ISNUMBER(F19))),"",IFERROR(VLOOKUP(F19,'Assessment Scale'!$A$3:$C$13,3,FALSE),""))</f>
        <v/>
      </c>
      <c r="H19" s="18" t="n"/>
    </row>
    <row r="20">
      <c r="A20" s="14" t="inlineStr"/>
      <c r="B20" s="14" t="inlineStr">
        <is>
          <t>Q15</t>
        </is>
      </c>
      <c r="C20" s="15" t="inlineStr">
        <is>
          <t>Is comprehensive metadata management in place, enabling data discovery, classification, and contextual understanding?</t>
        </is>
      </c>
      <c r="D20" s="16" t="n"/>
      <c r="E20" s="17" t="inlineStr">
        <is>
          <t>Scale 0-10</t>
        </is>
      </c>
      <c r="F20" s="18" t="n"/>
      <c r="G20" s="19">
        <f>IF(OR(F20="",NOT(ISNUMBER(F20))),"",IFERROR(VLOOKUP(F20,'Assessment Scale'!$A$3:$C$13,3,FALSE),""))</f>
        <v/>
      </c>
      <c r="H20" s="18" t="n"/>
    </row>
    <row r="21">
      <c r="A21" s="14" t="inlineStr"/>
      <c r="B21" s="14" t="inlineStr">
        <is>
          <t>Q16</t>
        </is>
      </c>
      <c r="C21" s="15" t="inlineStr">
        <is>
          <t>How mature is data quality management — are completeness, accuracy, consistency, and timeliness measured and enforced?</t>
        </is>
      </c>
      <c r="D21" s="16" t="n"/>
      <c r="E21" s="17" t="inlineStr">
        <is>
          <t>Scale 0-10</t>
        </is>
      </c>
      <c r="F21" s="18" t="n"/>
      <c r="G21" s="19">
        <f>IF(OR(F21="",NOT(ISNUMBER(F21))),"",IFERROR(VLOOKUP(F21,'Assessment Scale'!$A$3:$C$13,3,FALSE),""))</f>
        <v/>
      </c>
      <c r="H21" s="18" t="n"/>
    </row>
    <row r="22">
      <c r="A22" s="14" t="inlineStr"/>
      <c r="B22" s="14" t="inlineStr">
        <is>
          <t>Q17</t>
        </is>
      </c>
      <c r="C22" s="15" t="inlineStr">
        <is>
          <t>Is data instrumentation in place to capture operational telemetry, audit records, and system-generated metadata?</t>
        </is>
      </c>
      <c r="D22" s="16" t="n"/>
      <c r="E22" s="17" t="inlineStr">
        <is>
          <t>Scale 0-10</t>
        </is>
      </c>
      <c r="F22" s="18" t="n"/>
      <c r="G22" s="19">
        <f>IF(OR(F22="",NOT(ISNUMBER(F22))),"",IFERROR(VLOOKUP(F22,'Assessment Scale'!$A$3:$C$13,3,FALSE),""))</f>
        <v/>
      </c>
      <c r="H22" s="18" t="n"/>
    </row>
    <row r="23">
      <c r="A23" s="14" t="inlineStr"/>
      <c r="B23" s="14" t="inlineStr">
        <is>
          <t>Q18</t>
        </is>
      </c>
      <c r="C23" s="15" t="inlineStr">
        <is>
          <t>Are data read/write performance requirements (volumes, IOPS, movement patterns) understood and architecturally addressed?</t>
        </is>
      </c>
      <c r="D23" s="16" t="n"/>
      <c r="E23" s="17" t="inlineStr">
        <is>
          <t>Scale 0-10</t>
        </is>
      </c>
      <c r="F23" s="18" t="n"/>
      <c r="G23" s="19">
        <f>IF(OR(F23="",NOT(ISNUMBER(F23))),"",IFERROR(VLOOKUP(F23,'Assessment Scale'!$A$3:$C$13,3,FALSE),""))</f>
        <v/>
      </c>
      <c r="H23" s="18" t="n"/>
    </row>
    <row r="24">
      <c r="A24" s="14" t="inlineStr"/>
      <c r="B24" s="14" t="inlineStr">
        <is>
          <t>Q19</t>
        </is>
      </c>
      <c r="C24" s="15" t="inlineStr">
        <is>
          <t>Is there a strategy for structured, semi-structured, and unstructured data that applies consistent governance across all types?</t>
        </is>
      </c>
      <c r="D24" s="16" t="n"/>
      <c r="E24" s="17" t="inlineStr">
        <is>
          <t>Scale 0-10</t>
        </is>
      </c>
      <c r="F24" s="18" t="n"/>
      <c r="G24" s="19">
        <f>IF(OR(F24="",NOT(ISNUMBER(F24))),"",IFERROR(VLOOKUP(F24,'Assessment Scale'!$A$3:$C$13,3,FALSE),""))</f>
        <v/>
      </c>
      <c r="H24" s="18" t="n"/>
    </row>
    <row r="25">
      <c r="A25" s="14" t="inlineStr"/>
      <c r="B25" s="14" t="inlineStr">
        <is>
          <t>Q20</t>
        </is>
      </c>
      <c r="C25" s="15" t="inlineStr">
        <is>
          <t>How well is data residency managed — are intentional copies of data tracked, controlled, and compliant with policy?</t>
        </is>
      </c>
      <c r="D25" s="16" t="n"/>
      <c r="E25" s="17" t="inlineStr">
        <is>
          <t>Scale 0-10</t>
        </is>
      </c>
      <c r="F25" s="18" t="n"/>
      <c r="G25" s="19">
        <f>IF(OR(F25="",NOT(ISNUMBER(F25))),"",IFERROR(VLOOKUP(F25,'Assessment Scale'!$A$3:$C$13,3,FALSE),""))</f>
        <v/>
      </c>
      <c r="H25" s="18" t="n"/>
    </row>
    <row r="26">
      <c r="A26" s="14" t="inlineStr"/>
      <c r="B26" s="14" t="inlineStr">
        <is>
          <t>Q21</t>
        </is>
      </c>
      <c r="C26" s="15" t="inlineStr">
        <is>
          <t>Does the architecture support event-driven data integration patterns and real-time data processing where needed?</t>
        </is>
      </c>
      <c r="D26" s="16" t="n"/>
      <c r="E26" s="17" t="inlineStr">
        <is>
          <t>Scale 0-10</t>
        </is>
      </c>
      <c r="F26" s="18" t="n"/>
      <c r="G26" s="19">
        <f>IF(OR(F26="",NOT(ISNUMBER(F26))),"",IFERROR(VLOOKUP(F26,'Assessment Scale'!$A$3:$C$13,3,FALSE),""))</f>
        <v/>
      </c>
      <c r="H26" s="18" t="n"/>
    </row>
    <row r="27" ht="24" customHeight="1">
      <c r="A27" s="10" t="inlineStr">
        <is>
          <t>Privacy, Protection &amp; Compliance — Section weight: 25%</t>
        </is>
      </c>
      <c r="B27" s="11" t="n"/>
      <c r="C27" s="11" t="n"/>
      <c r="D27" s="11" t="n"/>
      <c r="E27" s="11" t="n"/>
      <c r="F27" s="12">
        <f>IFERROR(ROUND(AVERAGE(F28:F36),1),"")</f>
        <v/>
      </c>
      <c r="G27" s="13" t="n">
        <v>0.25</v>
      </c>
      <c r="H27" s="11" t="n"/>
    </row>
    <row r="28">
      <c r="A28" s="14" t="inlineStr">
        <is>
          <t>S3</t>
        </is>
      </c>
      <c r="B28" s="14" t="inlineStr">
        <is>
          <t>Q22</t>
        </is>
      </c>
      <c r="C28" s="15" t="inlineStr">
        <is>
          <t>Has a Privacy Impact Assessment (PIA) been completed, and does the architecture reflect its recommendations?</t>
        </is>
      </c>
      <c r="D28" s="20" t="inlineStr">
        <is>
          <t>Privacy</t>
        </is>
      </c>
      <c r="E28" s="21" t="inlineStr">
        <is>
          <t>Yes / No</t>
        </is>
      </c>
      <c r="F28" s="18" t="n"/>
      <c r="G28" s="19">
        <f>IF(OR(F28="",NOT(ISNUMBER(F28))),"",IFERROR(VLOOKUP(F28,'Assessment Scale'!$A$3:$C$13,3,FALSE),""))</f>
        <v/>
      </c>
      <c r="H28" s="18" t="n"/>
    </row>
    <row r="29">
      <c r="A29" s="14" t="inlineStr"/>
      <c r="B29" s="14" t="inlineStr">
        <is>
          <t>Q23</t>
        </is>
      </c>
      <c r="C29" s="15" t="inlineStr">
        <is>
          <t>Is Privacy by Design embedded throughout the solution, from data collection through to disposition?</t>
        </is>
      </c>
      <c r="D29" s="20" t="inlineStr">
        <is>
          <t>Privacy</t>
        </is>
      </c>
      <c r="E29" s="17" t="inlineStr">
        <is>
          <t>Scale 0-10</t>
        </is>
      </c>
      <c r="F29" s="18" t="n"/>
      <c r="G29" s="19">
        <f>IF(OR(F29="",NOT(ISNUMBER(F29))),"",IFERROR(VLOOKUP(F29,'Assessment Scale'!$A$3:$C$13,3,FALSE),""))</f>
        <v/>
      </c>
      <c r="H29" s="18" t="n"/>
    </row>
    <row r="30">
      <c r="A30" s="14" t="inlineStr"/>
      <c r="B30" s="14" t="inlineStr">
        <is>
          <t>Q24</t>
        </is>
      </c>
      <c r="C30" s="15" t="inlineStr">
        <is>
          <t>How mature is data categorization — are all data assets classified by sensitivity, and is handling appropriate to classification?</t>
        </is>
      </c>
      <c r="D30" s="16" t="n"/>
      <c r="E30" s="17" t="inlineStr">
        <is>
          <t>Scale 0-10</t>
        </is>
      </c>
      <c r="F30" s="18" t="n"/>
      <c r="G30" s="19">
        <f>IF(OR(F30="",NOT(ISNUMBER(F30))),"",IFERROR(VLOOKUP(F30,'Assessment Scale'!$A$3:$C$13,3,FALSE),""))</f>
        <v/>
      </c>
      <c r="H30" s="18" t="n"/>
    </row>
    <row r="31">
      <c r="A31" s="14" t="inlineStr"/>
      <c r="B31" s="14" t="inlineStr">
        <is>
          <t>Q25</t>
        </is>
      </c>
      <c r="C31" s="15" t="inlineStr">
        <is>
          <t>Is encryption applied at rest, in transit, and in processing for all data at the appropriate sensitivity level?</t>
        </is>
      </c>
      <c r="D31" s="20" t="inlineStr">
        <is>
          <t>Security</t>
        </is>
      </c>
      <c r="E31" s="17" t="inlineStr">
        <is>
          <t>Scale 0-10</t>
        </is>
      </c>
      <c r="F31" s="18" t="n"/>
      <c r="G31" s="19">
        <f>IF(OR(F31="",NOT(ISNUMBER(F31))),"",IFERROR(VLOOKUP(F31,'Assessment Scale'!$A$3:$C$13,3,FALSE),""))</f>
        <v/>
      </c>
      <c r="H31" s="18" t="n"/>
    </row>
    <row r="32">
      <c r="A32" s="14" t="inlineStr"/>
      <c r="B32" s="14" t="inlineStr">
        <is>
          <t>Q26</t>
        </is>
      </c>
      <c r="C32" s="15" t="inlineStr">
        <is>
          <t>Are data sovereignty requirements met — is there full awareness of where data resides, crosses borders, and is subject to foreign law?</t>
        </is>
      </c>
      <c r="D32" s="20" t="inlineStr">
        <is>
          <t>Security</t>
        </is>
      </c>
      <c r="E32" s="17" t="inlineStr">
        <is>
          <t>Scale 0-10</t>
        </is>
      </c>
      <c r="F32" s="18" t="n"/>
      <c r="G32" s="19">
        <f>IF(OR(F32="",NOT(ISNUMBER(F32))),"",IFERROR(VLOOKUP(F32,'Assessment Scale'!$A$3:$C$13,3,FALSE),""))</f>
        <v/>
      </c>
      <c r="H32" s="18" t="n"/>
    </row>
    <row r="33">
      <c r="A33" s="14" t="inlineStr"/>
      <c r="B33" s="14" t="inlineStr">
        <is>
          <t>Q27</t>
        </is>
      </c>
      <c r="C33" s="15" t="inlineStr">
        <is>
          <t>Are data retention and disposition policies enforced, including secure deletion and legal hold capabilities?</t>
        </is>
      </c>
      <c r="D33" s="20" t="inlineStr">
        <is>
          <t>Security, Privacy</t>
        </is>
      </c>
      <c r="E33" s="17" t="inlineStr">
        <is>
          <t>Scale 0-10</t>
        </is>
      </c>
      <c r="F33" s="18" t="n"/>
      <c r="G33" s="19">
        <f>IF(OR(F33="",NOT(ISNUMBER(F33))),"",IFERROR(VLOOKUP(F33,'Assessment Scale'!$A$3:$C$13,3,FALSE),""))</f>
        <v/>
      </c>
      <c r="H33" s="18" t="n"/>
    </row>
    <row r="34">
      <c r="A34" s="14" t="inlineStr"/>
      <c r="B34" s="14" t="inlineStr">
        <is>
          <t>Q28</t>
        </is>
      </c>
      <c r="C34" s="15" t="inlineStr">
        <is>
          <t>How well are collection limitation principles applied — is only necessary data collected, with informed consent where required?</t>
        </is>
      </c>
      <c r="D34" s="20" t="inlineStr">
        <is>
          <t>Privacy</t>
        </is>
      </c>
      <c r="E34" s="17" t="inlineStr">
        <is>
          <t>Scale 0-10</t>
        </is>
      </c>
      <c r="F34" s="18" t="n"/>
      <c r="G34" s="19">
        <f>IF(OR(F34="",NOT(ISNUMBER(F34))),"",IFERROR(VLOOKUP(F34,'Assessment Scale'!$A$3:$C$13,3,FALSE),""))</f>
        <v/>
      </c>
      <c r="H34" s="18" t="n"/>
    </row>
    <row r="35">
      <c r="A35" s="14" t="inlineStr"/>
      <c r="B35" s="14" t="inlineStr">
        <is>
          <t>Q29</t>
        </is>
      </c>
      <c r="C35" s="15" t="inlineStr">
        <is>
          <t>Is there a documented breach response plan, and has it been tested?</t>
        </is>
      </c>
      <c r="D35" s="20" t="inlineStr">
        <is>
          <t>Security</t>
        </is>
      </c>
      <c r="E35" s="21" t="inlineStr">
        <is>
          <t>Yes / No</t>
        </is>
      </c>
      <c r="F35" s="18" t="n"/>
      <c r="G35" s="19">
        <f>IF(OR(F35="",NOT(ISNUMBER(F35))),"",IFERROR(VLOOKUP(F35,'Assessment Scale'!$A$3:$C$13,3,FALSE),""))</f>
        <v/>
      </c>
      <c r="H35" s="18" t="n"/>
    </row>
    <row r="36">
      <c r="A36" s="14" t="inlineStr"/>
      <c r="B36" s="14" t="inlineStr">
        <is>
          <t>Q30</t>
        </is>
      </c>
      <c r="C36" s="15" t="inlineStr">
        <is>
          <t>Are access controls enforced at the data level, ensuring role-based and attribute-based access is actively governed?</t>
        </is>
      </c>
      <c r="D36" s="20" t="inlineStr">
        <is>
          <t>Security</t>
        </is>
      </c>
      <c r="E36" s="17" t="inlineStr">
        <is>
          <t>Scale 0-10</t>
        </is>
      </c>
      <c r="F36" s="18" t="n"/>
      <c r="G36" s="19">
        <f>IF(OR(F36="",NOT(ISNUMBER(F36))),"",IFERROR(VLOOKUP(F36,'Assessment Scale'!$A$3:$C$13,3,FALSE),""))</f>
        <v/>
      </c>
      <c r="H36" s="18" t="n"/>
    </row>
    <row r="37" ht="24" customHeight="1">
      <c r="A37" s="10" t="inlineStr">
        <is>
          <t>Accessibility, Interoperability &amp; Usability — Section weight: 5%</t>
        </is>
      </c>
      <c r="B37" s="11" t="n"/>
      <c r="C37" s="11" t="n"/>
      <c r="D37" s="11" t="n"/>
      <c r="E37" s="11" t="n"/>
      <c r="F37" s="12">
        <f>IFERROR(ROUND(AVERAGE(F38:F40),1),"")</f>
        <v/>
      </c>
      <c r="G37" s="13" t="n">
        <v>0.05</v>
      </c>
      <c r="H37" s="11" t="n"/>
    </row>
    <row r="38">
      <c r="A38" s="14" t="inlineStr">
        <is>
          <t>S4</t>
        </is>
      </c>
      <c r="B38" s="14" t="inlineStr">
        <is>
          <t>Q31</t>
        </is>
      </c>
      <c r="C38" s="15" t="inlineStr">
        <is>
          <t>Does the data architecture align with FAIR principles (Findable, Accessible, Interoperable, Reusable)?</t>
        </is>
      </c>
      <c r="D38" s="16" t="n"/>
      <c r="E38" s="17" t="inlineStr">
        <is>
          <t>Scale 0-10</t>
        </is>
      </c>
      <c r="F38" s="18" t="n"/>
      <c r="G38" s="19">
        <f>IF(OR(F38="",NOT(ISNUMBER(F38))),"",IFERROR(VLOOKUP(F38,'Assessment Scale'!$A$3:$C$13,3,FALSE),""))</f>
        <v/>
      </c>
      <c r="H38" s="18" t="n"/>
    </row>
    <row r="39">
      <c r="A39" s="14" t="inlineStr"/>
      <c r="B39" s="14" t="inlineStr">
        <is>
          <t>Q32</t>
        </is>
      </c>
      <c r="C39" s="15" t="inlineStr">
        <is>
          <t>Are APIs and data-sharing interfaces standards-based and documented, enabling downstream consumption without tight coupling?</t>
        </is>
      </c>
      <c r="D39" s="16" t="n"/>
      <c r="E39" s="17" t="inlineStr">
        <is>
          <t>Scale 0-10</t>
        </is>
      </c>
      <c r="F39" s="18" t="n"/>
      <c r="G39" s="19">
        <f>IF(OR(F39="",NOT(ISNUMBER(F39))),"",IFERROR(VLOOKUP(F39,'Assessment Scale'!$A$3:$C$13,3,FALSE),""))</f>
        <v/>
      </c>
      <c r="H39" s="18" t="n"/>
    </row>
    <row r="40">
      <c r="A40" s="14" t="inlineStr"/>
      <c r="B40" s="14" t="inlineStr">
        <is>
          <t>Q33</t>
        </is>
      </c>
      <c r="C40" s="15" t="inlineStr">
        <is>
          <t>How accessible is data to authorized consumers, including other departments, partners, and (where appropriate) the public?</t>
        </is>
      </c>
      <c r="D40" s="20" t="inlineStr">
        <is>
          <t>Security</t>
        </is>
      </c>
      <c r="E40" s="17" t="inlineStr">
        <is>
          <t>Scale 0-10</t>
        </is>
      </c>
      <c r="F40" s="18" t="n"/>
      <c r="G40" s="19">
        <f>IF(OR(F40="",NOT(ISNUMBER(F40))),"",IFERROR(VLOOKUP(F40,'Assessment Scale'!$A$3:$C$13,3,FALSE),""))</f>
        <v/>
      </c>
      <c r="H40" s="18" t="n"/>
    </row>
    <row r="41" ht="24" customHeight="1">
      <c r="A41" s="10" t="inlineStr">
        <is>
          <t>Governance, Oversight &amp; Accountability — Section weight: 20%</t>
        </is>
      </c>
      <c r="B41" s="11" t="n"/>
      <c r="C41" s="11" t="n"/>
      <c r="D41" s="11" t="n"/>
      <c r="E41" s="11" t="n"/>
      <c r="F41" s="12">
        <f>IFERROR(ROUND(AVERAGE(F42:F47),1),"")</f>
        <v/>
      </c>
      <c r="G41" s="13" t="n">
        <v>0.2</v>
      </c>
      <c r="H41" s="11" t="n"/>
    </row>
    <row r="42">
      <c r="A42" s="14" t="inlineStr">
        <is>
          <t>S5</t>
        </is>
      </c>
      <c r="B42" s="14" t="inlineStr">
        <is>
          <t>Q34</t>
        </is>
      </c>
      <c r="C42" s="15" t="inlineStr">
        <is>
          <t>Is there a designated data owner and data steward for each key dataset, with documented accountability?</t>
        </is>
      </c>
      <c r="D42" s="16" t="n"/>
      <c r="E42" s="17" t="inlineStr">
        <is>
          <t>Scale 0-10</t>
        </is>
      </c>
      <c r="F42" s="18" t="n"/>
      <c r="G42" s="19">
        <f>IF(OR(F42="",NOT(ISNUMBER(F42))),"",IFERROR(VLOOKUP(F42,'Assessment Scale'!$A$3:$C$13,3,FALSE),""))</f>
        <v/>
      </c>
      <c r="H42" s="18" t="n"/>
    </row>
    <row r="43">
      <c r="A43" s="14" t="inlineStr"/>
      <c r="B43" s="14" t="inlineStr">
        <is>
          <t>Q35</t>
        </is>
      </c>
      <c r="C43" s="15" t="inlineStr">
        <is>
          <t>How mature is the data governance framework — does it cover policies, standards, roles, dispute resolution, and enforcement?</t>
        </is>
      </c>
      <c r="D43" s="16" t="n"/>
      <c r="E43" s="17" t="inlineStr">
        <is>
          <t>Scale 0-10</t>
        </is>
      </c>
      <c r="F43" s="18" t="n"/>
      <c r="G43" s="19">
        <f>IF(OR(F43="",NOT(ISNUMBER(F43))),"",IFERROR(VLOOKUP(F43,'Assessment Scale'!$A$3:$C$13,3,FALSE),""))</f>
        <v/>
      </c>
      <c r="H43" s="18" t="n"/>
    </row>
    <row r="44">
      <c r="A44" s="14" t="inlineStr"/>
      <c r="B44" s="14" t="inlineStr">
        <is>
          <t>Q36</t>
        </is>
      </c>
      <c r="C44" s="15" t="inlineStr">
        <is>
          <t>Are data governance decisions transparent and auditable, including any changes to data models, access rules, or classifications?</t>
        </is>
      </c>
      <c r="D44" s="16" t="n"/>
      <c r="E44" s="17" t="inlineStr">
        <is>
          <t>Scale 0-10</t>
        </is>
      </c>
      <c r="F44" s="18" t="n"/>
      <c r="G44" s="19">
        <f>IF(OR(F44="",NOT(ISNUMBER(F44))),"",IFERROR(VLOOKUP(F44,'Assessment Scale'!$A$3:$C$13,3,FALSE),""))</f>
        <v/>
      </c>
      <c r="H44" s="18" t="n"/>
    </row>
    <row r="45">
      <c r="A45" s="14" t="inlineStr"/>
      <c r="B45" s="14" t="inlineStr">
        <is>
          <t>Q37</t>
        </is>
      </c>
      <c r="C45" s="15" t="inlineStr">
        <is>
          <t>Is there a process to ensure data governance keeps pace with legislative changes (Privacy Act, Access to Information, Bill C-27)?</t>
        </is>
      </c>
      <c r="D45" s="20" t="inlineStr">
        <is>
          <t>Privacy</t>
        </is>
      </c>
      <c r="E45" s="17" t="inlineStr">
        <is>
          <t>Scale 0-10</t>
        </is>
      </c>
      <c r="F45" s="18" t="n"/>
      <c r="G45" s="19">
        <f>IF(OR(F45="",NOT(ISNUMBER(F45))),"",IFERROR(VLOOKUP(F45,'Assessment Scale'!$A$3:$C$13,3,FALSE),""))</f>
        <v/>
      </c>
      <c r="H45" s="18" t="n"/>
    </row>
    <row r="46">
      <c r="A46" s="14" t="inlineStr"/>
      <c r="B46" s="14" t="inlineStr">
        <is>
          <t>Q38</t>
        </is>
      </c>
      <c r="C46" s="15" t="inlineStr">
        <is>
          <t>How well is data quality monitored, reported on, and escalated when thresholds are breached?</t>
        </is>
      </c>
      <c r="D46" s="20" t="inlineStr">
        <is>
          <t>Security</t>
        </is>
      </c>
      <c r="E46" s="17" t="inlineStr">
        <is>
          <t>Scale 0-10</t>
        </is>
      </c>
      <c r="F46" s="18" t="n"/>
      <c r="G46" s="19">
        <f>IF(OR(F46="",NOT(ISNUMBER(F46))),"",IFERROR(VLOOKUP(F46,'Assessment Scale'!$A$3:$C$13,3,FALSE),""))</f>
        <v/>
      </c>
      <c r="H46" s="18" t="n"/>
    </row>
    <row r="47">
      <c r="A47" s="14" t="inlineStr"/>
      <c r="B47" s="14" t="inlineStr">
        <is>
          <t>Q39</t>
        </is>
      </c>
      <c r="C47" s="15" t="inlineStr">
        <is>
          <t>Is there a regular data audit process to validate compliance with policies, identify orphaned data, and assess data health?</t>
        </is>
      </c>
      <c r="D47" s="16" t="n"/>
      <c r="E47" s="17" t="inlineStr">
        <is>
          <t>Scale 0-10</t>
        </is>
      </c>
      <c r="F47" s="18" t="n"/>
      <c r="G47" s="19">
        <f>IF(OR(F47="",NOT(ISNUMBER(F47))),"",IFERROR(VLOOKUP(F47,'Assessment Scale'!$A$3:$C$13,3,FALSE),""))</f>
        <v/>
      </c>
      <c r="H47" s="18" t="n"/>
    </row>
    <row r="49">
      <c r="A49" s="22" t="inlineStr">
        <is>
          <t>Domain score, weighted across the sections answered</t>
        </is>
      </c>
      <c r="B49" s="23" t="n"/>
      <c r="C49" s="23" t="n"/>
      <c r="D49" s="23" t="n"/>
      <c r="E49" s="23" t="n"/>
      <c r="F49" s="24">
        <f>IFERROR(ROUND((N(F4)*N(G4)+N(F14)*N(G14)+N(F27)*N(G27)+N(F37)*N(G37)+N(F41)*N(G41))/((F4&lt;&gt;"")*N(G4)+(F14&lt;&gt;"")*N(G14)+(F27&lt;&gt;"")*N(G27)+(F37&lt;&gt;"")*N(G37)+(F41&lt;&gt;"")*N(G41)),1),"")</f>
        <v/>
      </c>
      <c r="G49" s="25" t="inlineStr">
        <is>
          <t>out of 10</t>
        </is>
      </c>
      <c r="H49" s="23" t="n"/>
    </row>
  </sheetData>
  <mergeCells count="8">
    <mergeCell ref="A1:H1"/>
    <mergeCell ref="A4:E4"/>
    <mergeCell ref="A2:H2"/>
    <mergeCell ref="A41:E41"/>
    <mergeCell ref="A49:E49"/>
    <mergeCell ref="A37:E37"/>
    <mergeCell ref="A14:E14"/>
    <mergeCell ref="A27:E27"/>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c r="B4" s="11" t="n"/>
      <c r="C4" s="11" t="n"/>
      <c r="D4" s="11" t="n"/>
      <c r="E4" s="11" t="n"/>
      <c r="F4" s="12">
        <f>IFERROR(ROUND(AVERAGE(F5:F13),1),"")</f>
        <v/>
      </c>
      <c r="G4" s="13" t="n">
        <v>0.1</v>
      </c>
      <c r="H4" s="11" t="n"/>
    </row>
    <row r="5">
      <c r="A5" s="14" t="inlineStr">
        <is>
          <t>S1</t>
        </is>
      </c>
      <c r="B5" s="14" t="inlineStr">
        <is>
          <t>Q1</t>
        </is>
      </c>
      <c r="C5" s="15" t="inlineStr">
        <is>
          <t>Is the current application solution fully documented, including architecture diagrams, data flows, and integration points?</t>
        </is>
      </c>
      <c r="D5" s="16" t="n"/>
      <c r="E5" s="17" t="inlineStr">
        <is>
          <t>Scale 0-10</t>
        </is>
      </c>
      <c r="F5" s="18" t="n"/>
      <c r="G5" s="19">
        <f>IF(OR(F5="",NOT(ISNUMBER(F5))),"",IFERROR(VLOOKUP(F5,'Assessment Scale'!$A$3:$C$13,3,FALSE),""))</f>
        <v/>
      </c>
      <c r="H5" s="18" t="n"/>
    </row>
    <row r="6">
      <c r="A6" s="14" t="inlineStr"/>
      <c r="B6" s="14" t="inlineStr">
        <is>
          <t>Q2</t>
        </is>
      </c>
      <c r="C6" s="15" t="inlineStr">
        <is>
          <t>How well is the current system instrumented — are resource allocation, consumption, and application health monitored?</t>
        </is>
      </c>
      <c r="D6" s="16" t="n"/>
      <c r="E6" s="17" t="inlineStr">
        <is>
          <t>Scale 0-10</t>
        </is>
      </c>
      <c r="F6" s="18" t="n"/>
      <c r="G6" s="19">
        <f>IF(OR(F6="",NOT(ISNUMBER(F6))),"",IFERROR(VLOOKUP(F6,'Assessment Scale'!$A$3:$C$13,3,FALSE),""))</f>
        <v/>
      </c>
      <c r="H6" s="18" t="n"/>
    </row>
    <row r="7">
      <c r="A7" s="14" t="inlineStr"/>
      <c r="B7" s="14" t="inlineStr">
        <is>
          <t>Q3</t>
        </is>
      </c>
      <c r="C7" s="15" t="inlineStr">
        <is>
          <t>What is the outstanding technical debt, and is it formally tracked in a backlog with prioritization?</t>
        </is>
      </c>
      <c r="D7" s="16" t="n"/>
      <c r="E7" s="17" t="inlineStr">
        <is>
          <t>Scale 0-10</t>
        </is>
      </c>
      <c r="F7" s="18" t="n"/>
      <c r="G7" s="19">
        <f>IF(OR(F7="",NOT(ISNUMBER(F7))),"",IFERROR(VLOOKUP(F7,'Assessment Scale'!$A$3:$C$13,3,FALSE),""))</f>
        <v/>
      </c>
      <c r="H7" s="18" t="n"/>
    </row>
    <row r="8">
      <c r="A8" s="14" t="inlineStr"/>
      <c r="B8" s="14" t="inlineStr">
        <is>
          <t>Q4</t>
        </is>
      </c>
      <c r="C8" s="15" t="inlineStr">
        <is>
          <t>When are major software contracts expiring, and is there a renewal or replacement strategy in place?</t>
        </is>
      </c>
      <c r="D8" s="16" t="n"/>
      <c r="E8" s="17" t="inlineStr">
        <is>
          <t>Scale 0-10</t>
        </is>
      </c>
      <c r="F8" s="18" t="n"/>
      <c r="G8" s="19">
        <f>IF(OR(F8="",NOT(ISNUMBER(F8))),"",IFERROR(VLOOKUP(F8,'Assessment Scale'!$A$3:$C$13,3,FALSE),""))</f>
        <v/>
      </c>
      <c r="H8" s="18" t="n"/>
    </row>
    <row r="9">
      <c r="A9" s="14" t="inlineStr"/>
      <c r="B9" s="14" t="inlineStr">
        <is>
          <t>Q5</t>
        </is>
      </c>
      <c r="C9" s="15" t="inlineStr">
        <is>
          <t>What known security vulnerabilities exist in the current solution, and what is the remediation status?</t>
        </is>
      </c>
      <c r="D9" s="20" t="inlineStr">
        <is>
          <t>Security</t>
        </is>
      </c>
      <c r="E9" s="17" t="inlineStr">
        <is>
          <t>Scale 0-10</t>
        </is>
      </c>
      <c r="F9" s="18" t="n"/>
      <c r="G9" s="19">
        <f>IF(OR(F9="",NOT(ISNUMBER(F9))),"",IFERROR(VLOOKUP(F9,'Assessment Scale'!$A$3:$C$13,3,FALSE),""))</f>
        <v/>
      </c>
      <c r="H9" s="18" t="n"/>
    </row>
    <row r="10">
      <c r="A10" s="14" t="inlineStr"/>
      <c r="B10" s="14" t="inlineStr">
        <is>
          <t>Q6</t>
        </is>
      </c>
      <c r="C10" s="15" t="inlineStr">
        <is>
          <t>How well understood are the delivery pipeline properties — maturity, automation, deployment frequency, and failure rate?</t>
        </is>
      </c>
      <c r="D10" s="16" t="n"/>
      <c r="E10" s="17" t="inlineStr">
        <is>
          <t>Scale 0-10</t>
        </is>
      </c>
      <c r="F10" s="18" t="n"/>
      <c r="G10" s="19">
        <f>IF(OR(F10="",NOT(ISNUMBER(F10))),"",IFERROR(VLOOKUP(F10,'Assessment Scale'!$A$3:$C$13,3,FALSE),""))</f>
        <v/>
      </c>
      <c r="H10" s="18" t="n"/>
    </row>
    <row r="11">
      <c r="A11" s="14" t="inlineStr"/>
      <c r="B11" s="14" t="inlineStr">
        <is>
          <t>Q7</t>
        </is>
      </c>
      <c r="C11" s="15" t="inlineStr">
        <is>
          <t>What is the degree of vendor or technology lock-in, and are exit/migration pathways understood?</t>
        </is>
      </c>
      <c r="D11" s="16" t="n"/>
      <c r="E11" s="17" t="inlineStr">
        <is>
          <t>Scale 0-10</t>
        </is>
      </c>
      <c r="F11" s="18" t="n"/>
      <c r="G11" s="19">
        <f>IF(OR(F11="",NOT(ISNUMBER(F11))),"",IFERROR(VLOOKUP(F11,'Assessment Scale'!$A$3:$C$13,3,FALSE),""))</f>
        <v/>
      </c>
      <c r="H11" s="18" t="n"/>
    </row>
    <row r="12">
      <c r="A12" s="14" t="inlineStr"/>
      <c r="B12" s="14" t="inlineStr">
        <is>
          <t>Q8</t>
        </is>
      </c>
      <c r="C12" s="15" t="inlineStr">
        <is>
          <t>Are all upstream and downstream application dependencies mapped and current?</t>
        </is>
      </c>
      <c r="D12" s="16" t="n"/>
      <c r="E12" s="17" t="inlineStr">
        <is>
          <t>Scale 0-10</t>
        </is>
      </c>
      <c r="F12" s="18" t="n"/>
      <c r="G12" s="19">
        <f>IF(OR(F12="",NOT(ISNUMBER(F12))),"",IFERROR(VLOOKUP(F12,'Assessment Scale'!$A$3:$C$13,3,FALSE),""))</f>
        <v/>
      </c>
      <c r="H12" s="18" t="n"/>
    </row>
    <row r="13">
      <c r="A13" s="14" t="inlineStr"/>
      <c r="B13" s="14" t="inlineStr">
        <is>
          <t>Q9</t>
        </is>
      </c>
      <c r="C13" s="15" t="inlineStr">
        <is>
          <t>What is the known backlog of defects, flaws, and unresolved issues, and how is it managed?</t>
        </is>
      </c>
      <c r="D13" s="16" t="n"/>
      <c r="E13" s="17" t="inlineStr">
        <is>
          <t>Scale 0-10</t>
        </is>
      </c>
      <c r="F13" s="18" t="n"/>
      <c r="G13" s="19">
        <f>IF(OR(F13="",NOT(ISNUMBER(F13))),"",IFERROR(VLOOKUP(F13,'Assessment Scale'!$A$3:$C$13,3,FALSE),""))</f>
        <v/>
      </c>
      <c r="H13" s="18" t="n"/>
    </row>
    <row r="14" ht="24" customHeight="1">
      <c r="A14" s="10" t="inlineStr">
        <is>
          <t>Application Architecture &amp; Build Approach — Section weight: 20%</t>
        </is>
      </c>
      <c r="B14" s="11" t="n"/>
      <c r="C14" s="11" t="n"/>
      <c r="D14" s="11" t="n"/>
      <c r="E14" s="11" t="n"/>
      <c r="F14" s="12">
        <f>IFERROR(ROUND(AVERAGE(F15:F24),1),"")</f>
        <v/>
      </c>
      <c r="G14" s="13" t="n">
        <v>0.2</v>
      </c>
      <c r="H14" s="11" t="n"/>
    </row>
    <row r="15">
      <c r="A15" s="14" t="inlineStr">
        <is>
          <t>S2</t>
        </is>
      </c>
      <c r="B15" s="14" t="inlineStr">
        <is>
          <t>Q10</t>
        </is>
      </c>
      <c r="C15" s="15" t="inlineStr">
        <is>
          <t>Is the application type (COTS, configured, custom-built, low/no-code, assembled) clearly defined and justified?</t>
        </is>
      </c>
      <c r="D15" s="16" t="n"/>
      <c r="E15" s="17" t="inlineStr">
        <is>
          <t>Scale 0-10</t>
        </is>
      </c>
      <c r="F15" s="18" t="n"/>
      <c r="G15" s="19">
        <f>IF(OR(F15="",NOT(ISNUMBER(F15))),"",IFERROR(VLOOKUP(F15,'Assessment Scale'!$A$3:$C$13,3,FALSE),""))</f>
        <v/>
      </c>
      <c r="H15" s="18" t="n"/>
    </row>
    <row r="16">
      <c r="A16" s="14" t="inlineStr"/>
      <c r="B16" s="14" t="inlineStr">
        <is>
          <t>Q11</t>
        </is>
      </c>
      <c r="C16" s="15" t="inlineStr">
        <is>
          <t>Is the delivery methodology (agile, waterfall, hybrid) appropriate to the solution's context and documented?</t>
        </is>
      </c>
      <c r="D16" s="16" t="n"/>
      <c r="E16" s="17" t="inlineStr">
        <is>
          <t>Scale 0-10</t>
        </is>
      </c>
      <c r="F16" s="18" t="n"/>
      <c r="G16" s="19">
        <f>IF(OR(F16="",NOT(ISNUMBER(F16))),"",IFERROR(VLOOKUP(F16,'Assessment Scale'!$A$3:$C$13,3,FALSE),""))</f>
        <v/>
      </c>
      <c r="H16" s="18" t="n"/>
    </row>
    <row r="17">
      <c r="A17" s="14" t="inlineStr"/>
      <c r="B17" s="14" t="inlineStr">
        <is>
          <t>Q12</t>
        </is>
      </c>
      <c r="C17" s="15" t="inlineStr">
        <is>
          <t>How software-defined is the solution — are configuration, policy, and infrastructure managed as code?</t>
        </is>
      </c>
      <c r="D17" s="16" t="n"/>
      <c r="E17" s="17" t="inlineStr">
        <is>
          <t>Scale 0-10</t>
        </is>
      </c>
      <c r="F17" s="18" t="n"/>
      <c r="G17" s="19">
        <f>IF(OR(F17="",NOT(ISNUMBER(F17))),"",IFERROR(VLOOKUP(F17,'Assessment Scale'!$A$3:$C$13,3,FALSE),""))</f>
        <v/>
      </c>
      <c r="H17" s="18" t="n"/>
    </row>
    <row r="18">
      <c r="A18" s="14" t="inlineStr"/>
      <c r="B18" s="14" t="inlineStr">
        <is>
          <t>Q13</t>
        </is>
      </c>
      <c r="C18" s="15" t="inlineStr">
        <is>
          <t>Is the application designed with capabilities-based modularity, enabling components to be replaced independently?</t>
        </is>
      </c>
      <c r="D18" s="16" t="n"/>
      <c r="E18" s="17" t="inlineStr">
        <is>
          <t>Scale 0-10</t>
        </is>
      </c>
      <c r="F18" s="18" t="n"/>
      <c r="G18" s="19">
        <f>IF(OR(F18="",NOT(ISNUMBER(F18))),"",IFERROR(VLOOKUP(F18,'Assessment Scale'!$A$3:$C$13,3,FALSE),""))</f>
        <v/>
      </c>
      <c r="H18" s="18" t="n"/>
    </row>
    <row r="19">
      <c r="A19" s="14" t="inlineStr"/>
      <c r="B19" s="14" t="inlineStr">
        <is>
          <t>Q14</t>
        </is>
      </c>
      <c r="C19" s="15" t="inlineStr">
        <is>
          <t>How are interoperability interfaces between internal components and external applications exposed and governed?</t>
        </is>
      </c>
      <c r="D19" s="16" t="n"/>
      <c r="E19" s="17" t="inlineStr">
        <is>
          <t>Scale 0-10</t>
        </is>
      </c>
      <c r="F19" s="18" t="n"/>
      <c r="G19" s="19">
        <f>IF(OR(F19="",NOT(ISNUMBER(F19))),"",IFERROR(VLOOKUP(F19,'Assessment Scale'!$A$3:$C$13,3,FALSE),""))</f>
        <v/>
      </c>
      <c r="H19" s="18" t="n"/>
    </row>
    <row r="20">
      <c r="A20" s="14" t="inlineStr"/>
      <c r="B20" s="14" t="inlineStr">
        <is>
          <t>Q15</t>
        </is>
      </c>
      <c r="C20" s="15" t="inlineStr">
        <is>
          <t>Is intellectual property ownership clear, and are code licensing obligations tracked and managed?</t>
        </is>
      </c>
      <c r="D20" s="16" t="n"/>
      <c r="E20" s="17" t="inlineStr">
        <is>
          <t>Scale 0-10</t>
        </is>
      </c>
      <c r="F20" s="18" t="n"/>
      <c r="G20" s="19">
        <f>IF(OR(F20="",NOT(ISNUMBER(F20))),"",IFERROR(VLOOKUP(F20,'Assessment Scale'!$A$3:$C$13,3,FALSE),""))</f>
        <v/>
      </c>
      <c r="H20" s="18" t="n"/>
    </row>
    <row r="21">
      <c r="A21" s="14" t="inlineStr"/>
      <c r="B21" s="14" t="inlineStr">
        <is>
          <t>Q16</t>
        </is>
      </c>
      <c r="C21" s="15" t="inlineStr">
        <is>
          <t>How mature is code reuse — is there a shared code repository, automated integration, and published component catalogue?</t>
        </is>
      </c>
      <c r="D21" s="16" t="n"/>
      <c r="E21" s="17" t="inlineStr">
        <is>
          <t>Scale 0-10</t>
        </is>
      </c>
      <c r="F21" s="18" t="n"/>
      <c r="G21" s="19">
        <f>IF(OR(F21="",NOT(ISNUMBER(F21))),"",IFERROR(VLOOKUP(F21,'Assessment Scale'!$A$3:$C$13,3,FALSE),""))</f>
        <v/>
      </c>
      <c r="H21" s="18" t="n"/>
    </row>
    <row r="22">
      <c r="A22" s="14" t="inlineStr"/>
      <c r="B22" s="14" t="inlineStr">
        <is>
          <t>Q17</t>
        </is>
      </c>
      <c r="C22" s="15" t="inlineStr">
        <is>
          <t>What is the lowest required integration level (container, VM/OS, physical hardware), and is it minimized where possible?</t>
        </is>
      </c>
      <c r="D22" s="16" t="n"/>
      <c r="E22" s="17" t="inlineStr">
        <is>
          <t>Scale 0-10</t>
        </is>
      </c>
      <c r="F22" s="18" t="n"/>
      <c r="G22" s="19">
        <f>IF(OR(F22="",NOT(ISNUMBER(F22))),"",IFERROR(VLOOKUP(F22,'Assessment Scale'!$A$3:$C$13,3,FALSE),""))</f>
        <v/>
      </c>
      <c r="H22" s="18" t="n"/>
    </row>
    <row r="23">
      <c r="A23" s="14" t="inlineStr"/>
      <c r="B23" s="14" t="inlineStr">
        <is>
          <t>Q18</t>
        </is>
      </c>
      <c r="C23" s="15" t="inlineStr">
        <is>
          <t>Are volume, redundancy, elasticity, scalability, throttling, and observability requirements defined and implemented?</t>
        </is>
      </c>
      <c r="D23" s="16" t="n"/>
      <c r="E23" s="17" t="inlineStr">
        <is>
          <t>Scale 0-10</t>
        </is>
      </c>
      <c r="F23" s="18" t="n"/>
      <c r="G23" s="19">
        <f>IF(OR(F23="",NOT(ISNUMBER(F23))),"",IFERROR(VLOOKUP(F23,'Assessment Scale'!$A$3:$C$13,3,FALSE),""))</f>
        <v/>
      </c>
      <c r="H23" s="18" t="n"/>
    </row>
    <row r="24">
      <c r="A24" s="14" t="inlineStr"/>
      <c r="B24" s="14" t="inlineStr">
        <is>
          <t>Q19</t>
        </is>
      </c>
      <c r="C24" s="15" t="inlineStr">
        <is>
          <t>Is the application designed as external-facing, internal enterprise, or administrative — and is the design tailored accordingly?</t>
        </is>
      </c>
      <c r="D24" s="16" t="n"/>
      <c r="E24" s="17" t="inlineStr">
        <is>
          <t>Scale 0-10</t>
        </is>
      </c>
      <c r="F24" s="18" t="n"/>
      <c r="G24" s="19">
        <f>IF(OR(F24="",NOT(ISNUMBER(F24))),"",IFERROR(VLOOKUP(F24,'Assessment Scale'!$A$3:$C$13,3,FALSE),""))</f>
        <v/>
      </c>
      <c r="H24" s="18" t="n"/>
    </row>
    <row r="25" ht="24" customHeight="1">
      <c r="A25" s="10" t="inlineStr">
        <is>
          <t>Engineering Practices &amp; Frameworks — Section weight: 20%</t>
        </is>
      </c>
      <c r="B25" s="11" t="n"/>
      <c r="C25" s="11" t="n"/>
      <c r="D25" s="11" t="n"/>
      <c r="E25" s="11" t="n"/>
      <c r="F25" s="12">
        <f>IFERROR(ROUND(AVERAGE(F26:F33),1),"")</f>
        <v/>
      </c>
      <c r="G25" s="13" t="n">
        <v>0.2</v>
      </c>
      <c r="H25" s="11" t="n"/>
    </row>
    <row r="26">
      <c r="A26" s="14" t="inlineStr">
        <is>
          <t>S3</t>
        </is>
      </c>
      <c r="B26" s="14" t="inlineStr">
        <is>
          <t>Q20</t>
        </is>
      </c>
      <c r="C26" s="15" t="inlineStr">
        <is>
          <t>How mature is the DevSecOps pipeline — including continuous integration, continuous deployment, automated testing, and security gates?</t>
        </is>
      </c>
      <c r="D26" s="20" t="inlineStr">
        <is>
          <t>Security</t>
        </is>
      </c>
      <c r="E26" s="17" t="inlineStr">
        <is>
          <t>Scale 0-10</t>
        </is>
      </c>
      <c r="F26" s="18" t="n"/>
      <c r="G26" s="19">
        <f>IF(OR(F26="",NOT(ISNUMBER(F26))),"",IFERROR(VLOOKUP(F26,'Assessment Scale'!$A$3:$C$13,3,FALSE),""))</f>
        <v/>
      </c>
      <c r="H26" s="18" t="n"/>
    </row>
    <row r="27">
      <c r="A27" s="14" t="inlineStr"/>
      <c r="B27" s="14" t="inlineStr">
        <is>
          <t>Q21</t>
        </is>
      </c>
      <c r="C27" s="15" t="inlineStr">
        <is>
          <t>Is test coverage defined, measured, and enforced — including unit, integration, regression, performance, and security testing?</t>
        </is>
      </c>
      <c r="D27" s="20" t="inlineStr">
        <is>
          <t>Security</t>
        </is>
      </c>
      <c r="E27" s="17" t="inlineStr">
        <is>
          <t>Scale 0-10</t>
        </is>
      </c>
      <c r="F27" s="18" t="n"/>
      <c r="G27" s="19">
        <f>IF(OR(F27="",NOT(ISNUMBER(F27))),"",IFERROR(VLOOKUP(F27,'Assessment Scale'!$A$3:$C$13,3,FALSE),""))</f>
        <v/>
      </c>
      <c r="H27" s="18" t="n"/>
    </row>
    <row r="28">
      <c r="A28" s="14" t="inlineStr"/>
      <c r="B28" s="14" t="inlineStr">
        <is>
          <t>Q22</t>
        </is>
      </c>
      <c r="C28" s="15" t="inlineStr">
        <is>
          <t>How well are coding standards, frameworks, and languages documented, enforced, and aligned with GC guidance?</t>
        </is>
      </c>
      <c r="D28" s="16" t="n"/>
      <c r="E28" s="17" t="inlineStr">
        <is>
          <t>Scale 0-10</t>
        </is>
      </c>
      <c r="F28" s="18" t="n"/>
      <c r="G28" s="19">
        <f>IF(OR(F28="",NOT(ISNUMBER(F28))),"",IFERROR(VLOOKUP(F28,'Assessment Scale'!$A$3:$C$13,3,FALSE),""))</f>
        <v/>
      </c>
      <c r="H28" s="18" t="n"/>
    </row>
    <row r="29">
      <c r="A29" s="14" t="inlineStr"/>
      <c r="B29" s="14" t="inlineStr">
        <is>
          <t>Q23</t>
        </is>
      </c>
      <c r="C29" s="15" t="inlineStr">
        <is>
          <t>Are accessibility standards (WCAG 2.1 AA or equivalent) embedded in the development and QA process?</t>
        </is>
      </c>
      <c r="D29" s="20" t="inlineStr">
        <is>
          <t>Accessibility</t>
        </is>
      </c>
      <c r="E29" s="21" t="inlineStr">
        <is>
          <t>Yes / No</t>
        </is>
      </c>
      <c r="F29" s="18" t="n"/>
      <c r="G29" s="19">
        <f>IF(OR(F29="",NOT(ISNUMBER(F29))),"",IFERROR(VLOOKUP(F29,'Assessment Scale'!$A$3:$C$13,3,FALSE),""))</f>
        <v/>
      </c>
      <c r="H29" s="18" t="n"/>
    </row>
    <row r="30">
      <c r="A30" s="14" t="inlineStr"/>
      <c r="B30" s="14" t="inlineStr">
        <is>
          <t>Q24</t>
        </is>
      </c>
      <c r="C30" s="15" t="inlineStr">
        <is>
          <t>Is there an algorithmic impact assessment (AIA) process in place for any AI/ML components in the application?</t>
        </is>
      </c>
      <c r="D30" s="16" t="n"/>
      <c r="E30" s="21" t="inlineStr">
        <is>
          <t>Yes / No</t>
        </is>
      </c>
      <c r="F30" s="18" t="n"/>
      <c r="G30" s="19">
        <f>IF(OR(F30="",NOT(ISNUMBER(F30))),"",IFERROR(VLOOKUP(F30,'Assessment Scale'!$A$3:$C$13,3,FALSE),""))</f>
        <v/>
      </c>
      <c r="H30" s="18" t="n"/>
    </row>
    <row r="31">
      <c r="A31" s="14" t="inlineStr"/>
      <c r="B31" s="14" t="inlineStr">
        <is>
          <t>Q25</t>
        </is>
      </c>
      <c r="C31" s="15" t="inlineStr">
        <is>
          <t>How mature is the code review and peer review process, and is it consistently applied?</t>
        </is>
      </c>
      <c r="D31" s="16" t="n"/>
      <c r="E31" s="17" t="inlineStr">
        <is>
          <t>Scale 0-10</t>
        </is>
      </c>
      <c r="F31" s="18" t="n"/>
      <c r="G31" s="19">
        <f>IF(OR(F31="",NOT(ISNUMBER(F31))),"",IFERROR(VLOOKUP(F31,'Assessment Scale'!$A$3:$C$13,3,FALSE),""))</f>
        <v/>
      </c>
      <c r="H31" s="18" t="n"/>
    </row>
    <row r="32">
      <c r="A32" s="14" t="inlineStr"/>
      <c r="B32" s="14" t="inlineStr">
        <is>
          <t>Q26</t>
        </is>
      </c>
      <c r="C32" s="15" t="inlineStr">
        <is>
          <t>Are application performance benchmarks established, tested against in CI/CD, and used to gate deployments?</t>
        </is>
      </c>
      <c r="D32" s="16" t="n"/>
      <c r="E32" s="17" t="inlineStr">
        <is>
          <t>Scale 0-10</t>
        </is>
      </c>
      <c r="F32" s="18" t="n"/>
      <c r="G32" s="19">
        <f>IF(OR(F32="",NOT(ISNUMBER(F32))),"",IFERROR(VLOOKUP(F32,'Assessment Scale'!$A$3:$C$13,3,FALSE),""))</f>
        <v/>
      </c>
      <c r="H32" s="18" t="n"/>
    </row>
    <row r="33">
      <c r="A33" s="14" t="inlineStr"/>
      <c r="B33" s="14" t="inlineStr">
        <is>
          <t>Q27</t>
        </is>
      </c>
      <c r="C33" s="15" t="inlineStr">
        <is>
          <t>Is observability (logging, tracing, metrics) built into the application architecture from the start?</t>
        </is>
      </c>
      <c r="D33" s="16" t="n"/>
      <c r="E33" s="17" t="inlineStr">
        <is>
          <t>Scale 0-10</t>
        </is>
      </c>
      <c r="F33" s="18" t="n"/>
      <c r="G33" s="19">
        <f>IF(OR(F33="",NOT(ISNUMBER(F33))),"",IFERROR(VLOOKUP(F33,'Assessment Scale'!$A$3:$C$13,3,FALSE),""))</f>
        <v/>
      </c>
      <c r="H33" s="18" t="n"/>
    </row>
    <row r="34" ht="24" customHeight="1">
      <c r="A34" s="10" t="inlineStr">
        <is>
          <t>Solution Options &amp; Ecosystem Strategy — Section weight: 50%</t>
        </is>
      </c>
      <c r="B34" s="11" t="n"/>
      <c r="C34" s="11" t="n"/>
      <c r="D34" s="11" t="n"/>
      <c r="E34" s="11" t="n"/>
      <c r="F34" s="12">
        <f>IFERROR(ROUND(AVERAGE(F35:F44),1),"")</f>
        <v/>
      </c>
      <c r="G34" s="13" t="n">
        <v>0.5</v>
      </c>
      <c r="H34" s="11" t="n"/>
    </row>
    <row r="35">
      <c r="A35" s="14" t="inlineStr">
        <is>
          <t>S4</t>
        </is>
      </c>
      <c r="B35" s="14" t="inlineStr">
        <is>
          <t>Q28</t>
        </is>
      </c>
      <c r="C35" s="15" t="inlineStr">
        <is>
          <t>Has a multi-disciplinary team — including business, security, privacy, data, and technology — been engaged in solution design?</t>
        </is>
      </c>
      <c r="D35" s="20" t="inlineStr">
        <is>
          <t>Security, Privacy</t>
        </is>
      </c>
      <c r="E35" s="17" t="inlineStr">
        <is>
          <t>Scale 0-10</t>
        </is>
      </c>
      <c r="F35" s="18" t="n"/>
      <c r="G35" s="19">
        <f>IF(OR(F35="",NOT(ISNUMBER(F35))),"",IFERROR(VLOOKUP(F35,'Assessment Scale'!$A$3:$C$13,3,FALSE),""))</f>
        <v/>
      </c>
      <c r="H35" s="18" t="n"/>
    </row>
    <row r="36">
      <c r="A36" s="14" t="inlineStr"/>
      <c r="B36" s="14" t="inlineStr">
        <is>
          <t>Q29</t>
        </is>
      </c>
      <c r="C36" s="15" t="inlineStr">
        <is>
          <t>Were enterprise contracts and procurement pathways (GC-wide standing offers, task authorizations) explored before custom sourcing?</t>
        </is>
      </c>
      <c r="D36" s="20" t="inlineStr">
        <is>
          <t>Security</t>
        </is>
      </c>
      <c r="E36" s="17" t="inlineStr">
        <is>
          <t>Scale 0-10</t>
        </is>
      </c>
      <c r="F36" s="18" t="n"/>
      <c r="G36" s="19">
        <f>IF(OR(F36="",NOT(ISNUMBER(F36))),"",IFERROR(VLOOKUP(F36,'Assessment Scale'!$A$3:$C$13,3,FALSE),""))</f>
        <v/>
      </c>
      <c r="H36" s="18" t="n"/>
    </row>
    <row r="37">
      <c r="A37" s="14" t="inlineStr"/>
      <c r="B37" s="14" t="inlineStr">
        <is>
          <t>Q30</t>
        </is>
      </c>
      <c r="C37" s="15" t="inlineStr">
        <is>
          <t>Was optionality fully investigated — including multi-vendor, open source, and homegrown options — with a documented rationale?</t>
        </is>
      </c>
      <c r="D37" s="16" t="n"/>
      <c r="E37" s="17" t="inlineStr">
        <is>
          <t>Scale 0-10</t>
        </is>
      </c>
      <c r="F37" s="18" t="n"/>
      <c r="G37" s="19">
        <f>IF(OR(F37="",NOT(ISNUMBER(F37))),"",IFERROR(VLOOKUP(F37,'Assessment Scale'!$A$3:$C$13,3,FALSE),""))</f>
        <v/>
      </c>
      <c r="H37" s="18" t="n"/>
    </row>
    <row r="38">
      <c r="A38" s="14" t="inlineStr"/>
      <c r="B38" s="14" t="inlineStr">
        <is>
          <t>Q31</t>
        </is>
      </c>
      <c r="C38" s="15" t="inlineStr">
        <is>
          <t>Is a Total Cost of Ownership (TCO) model available that includes build, operate, maintain, licensing, and exit costs?</t>
        </is>
      </c>
      <c r="D38" s="20" t="inlineStr">
        <is>
          <t>Financial</t>
        </is>
      </c>
      <c r="E38" s="17" t="inlineStr">
        <is>
          <t>Scale 0-10</t>
        </is>
      </c>
      <c r="F38" s="18" t="n"/>
      <c r="G38" s="19">
        <f>IF(OR(F38="",NOT(ISNUMBER(F38))),"",IFERROR(VLOOKUP(F38,'Assessment Scale'!$A$3:$C$13,3,FALSE),""))</f>
        <v/>
      </c>
      <c r="H38" s="18" t="n"/>
    </row>
    <row r="39">
      <c r="A39" s="14" t="inlineStr"/>
      <c r="B39" s="14" t="inlineStr">
        <is>
          <t>Q32</t>
        </is>
      </c>
      <c r="C39" s="15" t="inlineStr">
        <is>
          <t>How well are digital sovereignty considerations addressed — are GC data and systems protected from foreign jurisdiction risk?</t>
        </is>
      </c>
      <c r="D39" s="20" t="inlineStr">
        <is>
          <t>Security</t>
        </is>
      </c>
      <c r="E39" s="17" t="inlineStr">
        <is>
          <t>Scale 0-10</t>
        </is>
      </c>
      <c r="F39" s="18" t="n"/>
      <c r="G39" s="19">
        <f>IF(OR(F39="",NOT(ISNUMBER(F39))),"",IFERROR(VLOOKUP(F39,'Assessment Scale'!$A$3:$C$13,3,FALSE),""))</f>
        <v/>
      </c>
      <c r="H39" s="18" t="n"/>
    </row>
    <row r="40">
      <c r="A40" s="14" t="inlineStr"/>
      <c r="B40" s="14" t="inlineStr">
        <is>
          <t>Q33</t>
        </is>
      </c>
      <c r="C40" s="15" t="inlineStr">
        <is>
          <t>Is the solution designed to integrate with GC-wide shared services (Sign-In Canada, GC Notify, GC Forms, etc.) where applicable?</t>
        </is>
      </c>
      <c r="D40" s="16" t="n"/>
      <c r="E40" s="17" t="inlineStr">
        <is>
          <t>Scale 0-10</t>
        </is>
      </c>
      <c r="F40" s="18" t="n"/>
      <c r="G40" s="19">
        <f>IF(OR(F40="",NOT(ISNUMBER(F40))),"",IFERROR(VLOOKUP(F40,'Assessment Scale'!$A$3:$C$13,3,FALSE),""))</f>
        <v/>
      </c>
      <c r="H40" s="18" t="n"/>
    </row>
    <row r="41">
      <c r="A41" s="14" t="inlineStr"/>
      <c r="B41" s="14" t="inlineStr">
        <is>
          <t>Q34</t>
        </is>
      </c>
      <c r="C41" s="15" t="inlineStr">
        <is>
          <t>How well does the solution avoid unnecessary duplication with existing GC capabilities and investments?</t>
        </is>
      </c>
      <c r="D41" s="20" t="inlineStr">
        <is>
          <t>Financial</t>
        </is>
      </c>
      <c r="E41" s="17" t="inlineStr">
        <is>
          <t>Scale 0-10</t>
        </is>
      </c>
      <c r="F41" s="18" t="n"/>
      <c r="G41" s="19">
        <f>IF(OR(F41="",NOT(ISNUMBER(F41))),"",IFERROR(VLOOKUP(F41,'Assessment Scale'!$A$3:$C$13,3,FALSE),""))</f>
        <v/>
      </c>
      <c r="H41" s="18" t="n"/>
    </row>
    <row r="42">
      <c r="A42" s="14" t="inlineStr"/>
      <c r="B42" s="14" t="inlineStr">
        <is>
          <t>Q35</t>
        </is>
      </c>
      <c r="C42" s="15" t="inlineStr">
        <is>
          <t>Is there a clear strategy for AI integration — including use of GC Foundation Models and GC AI Compute infrastructure?</t>
        </is>
      </c>
      <c r="D42" s="16" t="n"/>
      <c r="E42" s="17" t="inlineStr">
        <is>
          <t>Scale 0-10</t>
        </is>
      </c>
      <c r="F42" s="18" t="n"/>
      <c r="G42" s="19">
        <f>IF(OR(F42="",NOT(ISNUMBER(F42))),"",IFERROR(VLOOKUP(F42,'Assessment Scale'!$A$3:$C$13,3,FALSE),""))</f>
        <v/>
      </c>
      <c r="H42" s="18" t="n"/>
    </row>
    <row r="43">
      <c r="A43" s="14" t="inlineStr"/>
      <c r="B43" s="14" t="inlineStr">
        <is>
          <t>Q36</t>
        </is>
      </c>
      <c r="C43" s="15" t="inlineStr">
        <is>
          <t>Is the solution designed to be decommissioned or migrated, with a documented sunset and transition strategy?</t>
        </is>
      </c>
      <c r="D43" s="16" t="n"/>
      <c r="E43" s="17" t="inlineStr">
        <is>
          <t>Scale 0-10</t>
        </is>
      </c>
      <c r="F43" s="18" t="n"/>
      <c r="G43" s="19">
        <f>IF(OR(F43="",NOT(ISNUMBER(F43))),"",IFERROR(VLOOKUP(F43,'Assessment Scale'!$A$3:$C$13,3,FALSE),""))</f>
        <v/>
      </c>
      <c r="H43" s="18" t="n"/>
    </row>
    <row r="44">
      <c r="A44" s="14" t="inlineStr"/>
      <c r="B44" s="14" t="inlineStr">
        <is>
          <t>Q37</t>
        </is>
      </c>
      <c r="C44" s="15" t="inlineStr">
        <is>
          <t>How well are supply chain security risks addressed in the sourcing and integration of third-party components?</t>
        </is>
      </c>
      <c r="D44" s="20" t="inlineStr">
        <is>
          <t>Security</t>
        </is>
      </c>
      <c r="E44" s="17" t="inlineStr">
        <is>
          <t>Scale 0-10</t>
        </is>
      </c>
      <c r="F44" s="18" t="n"/>
      <c r="G44" s="19">
        <f>IF(OR(F44="",NOT(ISNUMBER(F44))),"",IFERROR(VLOOKUP(F44,'Assessment Scale'!$A$3:$C$13,3,FALSE),""))</f>
        <v/>
      </c>
      <c r="H44" s="18" t="n"/>
    </row>
    <row r="46">
      <c r="A46" s="22" t="inlineStr">
        <is>
          <t>Domain score, weighted across the sections answered</t>
        </is>
      </c>
      <c r="B46" s="23" t="n"/>
      <c r="C46" s="23" t="n"/>
      <c r="D46" s="23" t="n"/>
      <c r="E46" s="23" t="n"/>
      <c r="F46" s="24">
        <f>IFERROR(ROUND((N(F4)*N(G4)+N(F14)*N(G14)+N(F25)*N(G25)+N(F34)*N(G34))/((F4&lt;&gt;"")*N(G4)+(F14&lt;&gt;"")*N(G14)+(F25&lt;&gt;"")*N(G25)+(F34&lt;&gt;"")*N(G34)),1),"")</f>
        <v/>
      </c>
      <c r="G46" s="25" t="inlineStr">
        <is>
          <t>out of 10</t>
        </is>
      </c>
      <c r="H46" s="23" t="n"/>
    </row>
  </sheetData>
  <mergeCells count="7">
    <mergeCell ref="A1:H1"/>
    <mergeCell ref="A34:E34"/>
    <mergeCell ref="A4:E4"/>
    <mergeCell ref="A2:H2"/>
    <mergeCell ref="A25:E25"/>
    <mergeCell ref="A46:E46"/>
    <mergeCell ref="A14:E14"/>
  </mergeCells>
  <dataValidations count="3">
    <dataValidation sqref="D4:D44"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1" allowBlank="1" promptTitle="Scale or yes-or-no?" prompt="How this question is answered. Ours, and provisional: change it if it reads wrong." type="list">
      <formula1>"Scale 0-10,Yes / No"</formula1>
    </dataValidation>
    <dataValidation sqref="F4:F44"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c r="B4" s="11" t="n"/>
      <c r="C4" s="11" t="n"/>
      <c r="D4" s="11" t="n"/>
      <c r="E4" s="11" t="n"/>
      <c r="F4" s="12">
        <f>IFERROR(ROUND(AVERAGE(F5:F11),1),"")</f>
        <v/>
      </c>
      <c r="G4" s="13" t="n">
        <v>0.1</v>
      </c>
      <c r="H4" s="11" t="n"/>
    </row>
    <row r="5">
      <c r="A5" s="14" t="inlineStr">
        <is>
          <t>S1</t>
        </is>
      </c>
      <c r="B5" s="14" t="inlineStr">
        <is>
          <t>Q1</t>
        </is>
      </c>
      <c r="C5" s="15" t="inlineStr">
        <is>
          <t>Are all details of the current solution's hosting environment — hardware, software, network, and configuration — fully documented?</t>
        </is>
      </c>
      <c r="D5" s="16" t="n"/>
      <c r="E5" s="17" t="inlineStr">
        <is>
          <t>Scale 0-10</t>
        </is>
      </c>
      <c r="F5" s="18" t="n"/>
      <c r="G5" s="19">
        <f>IF(OR(F5="",NOT(ISNUMBER(F5))),"",IFERROR(VLOOKUP(F5,'Assessment Scale'!$A$3:$C$13,3,FALSE),""))</f>
        <v/>
      </c>
      <c r="H5" s="18" t="n"/>
    </row>
    <row r="6">
      <c r="A6" s="14" t="inlineStr"/>
      <c r="B6" s="14" t="inlineStr">
        <is>
          <t>Q2</t>
        </is>
      </c>
      <c r="C6" s="15" t="inlineStr">
        <is>
          <t>Is the current solution healthy, with no critical alerts, capacity issues, or unresolved infrastructure-level incidents?</t>
        </is>
      </c>
      <c r="D6" s="16" t="n"/>
      <c r="E6" s="17" t="inlineStr">
        <is>
          <t>Scale 0-10</t>
        </is>
      </c>
      <c r="F6" s="18" t="n"/>
      <c r="G6" s="19">
        <f>IF(OR(F6="",NOT(ISNUMBER(F6))),"",IFERROR(VLOOKUP(F6,'Assessment Scale'!$A$3:$C$13,3,FALSE),""))</f>
        <v/>
      </c>
      <c r="H6" s="18" t="n"/>
    </row>
    <row r="7">
      <c r="A7" s="14" t="inlineStr"/>
      <c r="B7" s="14" t="inlineStr">
        <is>
          <t>Q3</t>
        </is>
      </c>
      <c r="C7" s="15" t="inlineStr">
        <is>
          <t>Are there any imminent changes to consumed infrastructure services, and is the solution prepared for those transitions?</t>
        </is>
      </c>
      <c r="D7" s="16" t="n"/>
      <c r="E7" s="17" t="inlineStr">
        <is>
          <t>Scale 0-10</t>
        </is>
      </c>
      <c r="F7" s="18" t="n"/>
      <c r="G7" s="19">
        <f>IF(OR(F7="",NOT(ISNUMBER(F7))),"",IFERROR(VLOOKUP(F7,'Assessment Scale'!$A$3:$C$13,3,FALSE),""))</f>
        <v/>
      </c>
      <c r="H7" s="18" t="n"/>
    </row>
    <row r="8">
      <c r="A8" s="14" t="inlineStr"/>
      <c r="B8" s="14" t="inlineStr">
        <is>
          <t>Q4</t>
        </is>
      </c>
      <c r="C8" s="15" t="inlineStr">
        <is>
          <t>Is the lifespan of the solution shorter than that of the infrastructure — and if not, is an upgrade plan in the backlog?</t>
        </is>
      </c>
      <c r="D8" s="16" t="n"/>
      <c r="E8" s="17" t="inlineStr">
        <is>
          <t>Scale 0-10</t>
        </is>
      </c>
      <c r="F8" s="18" t="n"/>
      <c r="G8" s="19">
        <f>IF(OR(F8="",NOT(ISNUMBER(F8))),"",IFERROR(VLOOKUP(F8,'Assessment Scale'!$A$3:$C$13,3,FALSE),""))</f>
        <v/>
      </c>
      <c r="H8" s="18" t="n"/>
    </row>
    <row r="9">
      <c r="A9" s="14" t="inlineStr"/>
      <c r="B9" s="14" t="inlineStr">
        <is>
          <t>Q5</t>
        </is>
      </c>
      <c r="C9" s="15" t="inlineStr">
        <is>
          <t>How well-informed is the team about their infrastructure service provider's roadmap, changes, and service performance?</t>
        </is>
      </c>
      <c r="D9" s="16" t="n"/>
      <c r="E9" s="17" t="inlineStr">
        <is>
          <t>Scale 0-10</t>
        </is>
      </c>
      <c r="F9" s="18" t="n"/>
      <c r="G9" s="19">
        <f>IF(OR(F9="",NOT(ISNUMBER(F9))),"",IFERROR(VLOOKUP(F9,'Assessment Scale'!$A$3:$C$13,3,FALSE),""))</f>
        <v/>
      </c>
      <c r="H9" s="18" t="n"/>
    </row>
    <row r="10">
      <c r="A10" s="14" t="inlineStr"/>
      <c r="B10" s="14" t="inlineStr">
        <is>
          <t>Q6</t>
        </is>
      </c>
      <c r="C10" s="15" t="inlineStr">
        <is>
          <t>Can infrastructure be ordered and provisioned on demand, and what lead time is required?</t>
        </is>
      </c>
      <c r="D10" s="16" t="n"/>
      <c r="E10" s="17" t="inlineStr">
        <is>
          <t>Scale 0-10</t>
        </is>
      </c>
      <c r="F10" s="18" t="n"/>
      <c r="G10" s="19">
        <f>IF(OR(F10="",NOT(ISNUMBER(F10))),"",IFERROR(VLOOKUP(F10,'Assessment Scale'!$A$3:$C$13,3,FALSE),""))</f>
        <v/>
      </c>
      <c r="H10" s="18" t="n"/>
    </row>
    <row r="11">
      <c r="A11" s="14" t="inlineStr"/>
      <c r="B11" s="14" t="inlineStr">
        <is>
          <t>Q7</t>
        </is>
      </c>
      <c r="C11" s="15" t="inlineStr">
        <is>
          <t>Is there a clear inventory of all infrastructure components, including versions, patch levels, and support status?</t>
        </is>
      </c>
      <c r="D11" s="16" t="n"/>
      <c r="E11" s="17" t="inlineStr">
        <is>
          <t>Scale 0-10</t>
        </is>
      </c>
      <c r="F11" s="18" t="n"/>
      <c r="G11" s="19">
        <f>IF(OR(F11="",NOT(ISNUMBER(F11))),"",IFERROR(VLOOKUP(F11,'Assessment Scale'!$A$3:$C$13,3,FALSE),""))</f>
        <v/>
      </c>
      <c r="H11" s="18" t="n"/>
    </row>
    <row r="12" ht="24" customHeight="1">
      <c r="A12" s="10" t="inlineStr">
        <is>
          <t>Infrastructure Architecture &amp; Deployment Model — Section weight: 25%</t>
        </is>
      </c>
      <c r="B12" s="11" t="n"/>
      <c r="C12" s="11" t="n"/>
      <c r="D12" s="11" t="n"/>
      <c r="E12" s="11" t="n"/>
      <c r="F12" s="12">
        <f>IFERROR(ROUND(AVERAGE(F13:F22),1),"")</f>
        <v/>
      </c>
      <c r="G12" s="13" t="n">
        <v>0.25</v>
      </c>
      <c r="H12" s="11" t="n"/>
    </row>
    <row r="13">
      <c r="A13" s="14" t="inlineStr">
        <is>
          <t>S2</t>
        </is>
      </c>
      <c r="B13" s="14" t="inlineStr">
        <is>
          <t>Q8</t>
        </is>
      </c>
      <c r="C13" s="15" t="inlineStr">
        <is>
          <t>Is the physical hosting model (on-premise EDC, public cloud, private cloud, hybrid) clearly justified and documented?</t>
        </is>
      </c>
      <c r="D13" s="16" t="n"/>
      <c r="E13" s="17" t="inlineStr">
        <is>
          <t>Scale 0-10</t>
        </is>
      </c>
      <c r="F13" s="18" t="n"/>
      <c r="G13" s="19">
        <f>IF(OR(F13="",NOT(ISNUMBER(F13))),"",IFERROR(VLOOKUP(F13,'Assessment Scale'!$A$3:$C$13,3,FALSE),""))</f>
        <v/>
      </c>
      <c r="H13" s="18" t="n"/>
    </row>
    <row r="14">
      <c r="A14" s="14" t="inlineStr"/>
      <c r="B14" s="14" t="inlineStr">
        <is>
          <t>Q9</t>
        </is>
      </c>
      <c r="C14" s="15" t="inlineStr">
        <is>
          <t>Is the decision between shared and dedicated hardware documented with supporting rationale for cost, isolation, and performance?</t>
        </is>
      </c>
      <c r="D14" s="20" t="inlineStr">
        <is>
          <t>Financial</t>
        </is>
      </c>
      <c r="E14" s="17" t="inlineStr">
        <is>
          <t>Scale 0-10</t>
        </is>
      </c>
      <c r="F14" s="18" t="n"/>
      <c r="G14" s="19">
        <f>IF(OR(F14="",NOT(ISNUMBER(F14))),"",IFERROR(VLOOKUP(F14,'Assessment Scale'!$A$3:$C$13,3,FALSE),""))</f>
        <v/>
      </c>
      <c r="H14" s="18" t="n"/>
    </row>
    <row r="15">
      <c r="A15" s="14" t="inlineStr"/>
      <c r="B15" s="14" t="inlineStr">
        <is>
          <t>Q10</t>
        </is>
      </c>
      <c r="C15" s="15" t="inlineStr">
        <is>
          <t>Are physical kiosks, IoT devices, or specialized hardware requirements identified and architecturally accommodated?</t>
        </is>
      </c>
      <c r="D15" s="16" t="n"/>
      <c r="E15" s="17" t="inlineStr">
        <is>
          <t>Scale 0-10</t>
        </is>
      </c>
      <c r="F15" s="18" t="n"/>
      <c r="G15" s="19">
        <f>IF(OR(F15="",NOT(ISNUMBER(F15))),"",IFERROR(VLOOKUP(F15,'Assessment Scale'!$A$3:$C$13,3,FALSE),""))</f>
        <v/>
      </c>
      <c r="H15" s="18" t="n"/>
    </row>
    <row r="16">
      <c r="A16" s="14" t="inlineStr"/>
      <c r="B16" s="14" t="inlineStr">
        <is>
          <t>Q11</t>
        </is>
      </c>
      <c r="C16" s="15" t="inlineStr">
        <is>
          <t>How well does the design leverage GC-wide service consolidation, shared footprint, and enterprise infrastructure services?</t>
        </is>
      </c>
      <c r="D16" s="16" t="n"/>
      <c r="E16" s="17" t="inlineStr">
        <is>
          <t>Scale 0-10</t>
        </is>
      </c>
      <c r="F16" s="18" t="n"/>
      <c r="G16" s="19">
        <f>IF(OR(F16="",NOT(ISNUMBER(F16))),"",IFERROR(VLOOKUP(F16,'Assessment Scale'!$A$3:$C$13,3,FALSE),""))</f>
        <v/>
      </c>
      <c r="H16" s="18" t="n"/>
    </row>
    <row r="17">
      <c r="A17" s="14" t="inlineStr"/>
      <c r="B17" s="14" t="inlineStr">
        <is>
          <t>Q12</t>
        </is>
      </c>
      <c r="C17" s="15" t="inlineStr">
        <is>
          <t>Are elasticity, burst capacity, and auto-scaling requirements defined and architecturally implemented?</t>
        </is>
      </c>
      <c r="D17" s="16" t="n"/>
      <c r="E17" s="17" t="inlineStr">
        <is>
          <t>Scale 0-10</t>
        </is>
      </c>
      <c r="F17" s="18" t="n"/>
      <c r="G17" s="19">
        <f>IF(OR(F17="",NOT(ISNUMBER(F17))),"",IFERROR(VLOOKUP(F17,'Assessment Scale'!$A$3:$C$13,3,FALSE),""))</f>
        <v/>
      </c>
      <c r="H17" s="18" t="n"/>
    </row>
    <row r="18">
      <c r="A18" s="14" t="inlineStr"/>
      <c r="B18" s="14" t="inlineStr">
        <is>
          <t>Q13</t>
        </is>
      </c>
      <c r="C18" s="15" t="inlineStr">
        <is>
          <t>Are High-Performance Computing (HPC) and edge computing needs assessed and addressed where applicable?</t>
        </is>
      </c>
      <c r="D18" s="16" t="n"/>
      <c r="E18" s="17" t="inlineStr">
        <is>
          <t>Scale 0-10</t>
        </is>
      </c>
      <c r="F18" s="18" t="n"/>
      <c r="G18" s="19">
        <f>IF(OR(F18="",NOT(ISNUMBER(F18))),"",IFERROR(VLOOKUP(F18,'Assessment Scale'!$A$3:$C$13,3,FALSE),""))</f>
        <v/>
      </c>
      <c r="H18" s="18" t="n"/>
    </row>
    <row r="19">
      <c r="A19" s="14" t="inlineStr"/>
      <c r="B19" s="14" t="inlineStr">
        <is>
          <t>Q14</t>
        </is>
      </c>
      <c r="C19" s="15" t="inlineStr">
        <is>
          <t>Is GC AI Compute (dedicated GC-owned/controlled GPU infrastructure) considered and evaluated as a first option for AI workloads?</t>
        </is>
      </c>
      <c r="D19" s="16" t="n"/>
      <c r="E19" s="21" t="inlineStr">
        <is>
          <t>Yes / No</t>
        </is>
      </c>
      <c r="F19" s="18" t="n"/>
      <c r="G19" s="19">
        <f>IF(OR(F19="",NOT(ISNUMBER(F19))),"",IFERROR(VLOOKUP(F19,'Assessment Scale'!$A$3:$C$13,3,FALSE),""))</f>
        <v/>
      </c>
      <c r="H19" s="18" t="n"/>
    </row>
    <row r="20">
      <c r="A20" s="14" t="inlineStr"/>
      <c r="B20" s="14" t="inlineStr">
        <is>
          <t>Q15</t>
        </is>
      </c>
      <c r="C20" s="15" t="inlineStr">
        <is>
          <t>Are bandwidth, latency, and network connectivity requirements defined and met by the infrastructure design?</t>
        </is>
      </c>
      <c r="D20" s="16" t="n"/>
      <c r="E20" s="17" t="inlineStr">
        <is>
          <t>Scale 0-10</t>
        </is>
      </c>
      <c r="F20" s="18" t="n"/>
      <c r="G20" s="19">
        <f>IF(OR(F20="",NOT(ISNUMBER(F20))),"",IFERROR(VLOOKUP(F20,'Assessment Scale'!$A$3:$C$13,3,FALSE),""))</f>
        <v/>
      </c>
      <c r="H20" s="18" t="n"/>
    </row>
    <row r="21">
      <c r="A21" s="14" t="inlineStr"/>
      <c r="B21" s="14" t="inlineStr">
        <is>
          <t>Q16</t>
        </is>
      </c>
      <c r="C21" s="15" t="inlineStr">
        <is>
          <t>Are storage volumes, IOPS, throughput, and data tiering requirements specified and provisioned appropriately?</t>
        </is>
      </c>
      <c r="D21" s="16" t="n"/>
      <c r="E21" s="17" t="inlineStr">
        <is>
          <t>Scale 0-10</t>
        </is>
      </c>
      <c r="F21" s="18" t="n"/>
      <c r="G21" s="19">
        <f>IF(OR(F21="",NOT(ISNUMBER(F21))),"",IFERROR(VLOOKUP(F21,'Assessment Scale'!$A$3:$C$13,3,FALSE),""))</f>
        <v/>
      </c>
      <c r="H21" s="18" t="n"/>
    </row>
    <row r="22">
      <c r="A22" s="14" t="inlineStr"/>
      <c r="B22" s="14" t="inlineStr">
        <is>
          <t>Q17</t>
        </is>
      </c>
      <c r="C22" s="15" t="inlineStr">
        <is>
          <t>Is the deployment model designed to meet availability, recovery time, and recovery point objectives?</t>
        </is>
      </c>
      <c r="D22" s="16" t="n"/>
      <c r="E22" s="17" t="inlineStr">
        <is>
          <t>Scale 0-10</t>
        </is>
      </c>
      <c r="F22" s="18" t="n"/>
      <c r="G22" s="19">
        <f>IF(OR(F22="",NOT(ISNUMBER(F22))),"",IFERROR(VLOOKUP(F22,'Assessment Scale'!$A$3:$C$13,3,FALSE),""))</f>
        <v/>
      </c>
      <c r="H22" s="18" t="n"/>
    </row>
    <row r="23" ht="24" customHeight="1">
      <c r="A23" s="10" t="inlineStr">
        <is>
          <t>Modern Engineering Patterns &amp; Platform Design — Section weight: 20%</t>
        </is>
      </c>
      <c r="B23" s="11" t="n"/>
      <c r="C23" s="11" t="n"/>
      <c r="D23" s="11" t="n"/>
      <c r="E23" s="11" t="n"/>
      <c r="F23" s="12">
        <f>IFERROR(ROUND(AVERAGE(F24:F30),1),"")</f>
        <v/>
      </c>
      <c r="G23" s="13" t="n">
        <v>0.2</v>
      </c>
      <c r="H23" s="11" t="n"/>
    </row>
    <row r="24">
      <c r="A24" s="14" t="inlineStr">
        <is>
          <t>S3</t>
        </is>
      </c>
      <c r="B24" s="14" t="inlineStr">
        <is>
          <t>Q18</t>
        </is>
      </c>
      <c r="C24" s="15" t="inlineStr">
        <is>
          <t>Is configuration and infrastructure managed as code (IaC/CaC), enabling reproducible and auditable deployments?</t>
        </is>
      </c>
      <c r="D24" s="16" t="n"/>
      <c r="E24" s="17" t="inlineStr">
        <is>
          <t>Scale 0-10</t>
        </is>
      </c>
      <c r="F24" s="18" t="n"/>
      <c r="G24" s="19">
        <f>IF(OR(F24="",NOT(ISNUMBER(F24))),"",IFERROR(VLOOKUP(F24,'Assessment Scale'!$A$3:$C$13,3,FALSE),""))</f>
        <v/>
      </c>
      <c r="H24" s="18" t="n"/>
    </row>
    <row r="25">
      <c r="A25" s="14" t="inlineStr"/>
      <c r="B25" s="14" t="inlineStr">
        <is>
          <t>Q19</t>
        </is>
      </c>
      <c r="C25" s="15" t="inlineStr">
        <is>
          <t>How well does the team understand and apply GC-relevant infrastructure design patterns and reference architectures?</t>
        </is>
      </c>
      <c r="D25" s="16" t="n"/>
      <c r="E25" s="17" t="inlineStr">
        <is>
          <t>Scale 0-10</t>
        </is>
      </c>
      <c r="F25" s="18" t="n"/>
      <c r="G25" s="19">
        <f>IF(OR(F25="",NOT(ISNUMBER(F25))),"",IFERROR(VLOOKUP(F25,'Assessment Scale'!$A$3:$C$13,3,FALSE),""))</f>
        <v/>
      </c>
      <c r="H25" s="18" t="n"/>
    </row>
    <row r="26">
      <c r="A26" s="14" t="inlineStr"/>
      <c r="B26" s="14" t="inlineStr">
        <is>
          <t>Q20</t>
        </is>
      </c>
      <c r="C26" s="15" t="inlineStr">
        <is>
          <t>Does the architecture embrace composable, modular designs and event-driven models where appropriate?</t>
        </is>
      </c>
      <c r="D26" s="16" t="n"/>
      <c r="E26" s="17" t="inlineStr">
        <is>
          <t>Scale 0-10</t>
        </is>
      </c>
      <c r="F26" s="18" t="n"/>
      <c r="G26" s="19">
        <f>IF(OR(F26="",NOT(ISNUMBER(F26))),"",IFERROR(VLOOKUP(F26,'Assessment Scale'!$A$3:$C$13,3,FALSE),""))</f>
        <v/>
      </c>
      <c r="H26" s="18" t="n"/>
    </row>
    <row r="27">
      <c r="A27" s="14" t="inlineStr"/>
      <c r="B27" s="14" t="inlineStr">
        <is>
          <t>Q21</t>
        </is>
      </c>
      <c r="C27" s="15" t="inlineStr">
        <is>
          <t>Is interoperability and containerization baked into the infrastructure design from the beginning?</t>
        </is>
      </c>
      <c r="D27" s="16" t="n"/>
      <c r="E27" s="17" t="inlineStr">
        <is>
          <t>Scale 0-10</t>
        </is>
      </c>
      <c r="F27" s="18" t="n"/>
      <c r="G27" s="19">
        <f>IF(OR(F27="",NOT(ISNUMBER(F27))),"",IFERROR(VLOOKUP(F27,'Assessment Scale'!$A$3:$C$13,3,FALSE),""))</f>
        <v/>
      </c>
      <c r="H27" s="18" t="n"/>
    </row>
    <row r="28">
      <c r="A28" s="14" t="inlineStr"/>
      <c r="B28" s="14" t="inlineStr">
        <is>
          <t>Q22</t>
        </is>
      </c>
      <c r="C28" s="15" t="inlineStr">
        <is>
          <t>Is there a documented plan and roadmap for quantum and post-quantum cryptography readiness?</t>
        </is>
      </c>
      <c r="D28" s="20" t="inlineStr">
        <is>
          <t>Security</t>
        </is>
      </c>
      <c r="E28" s="17" t="inlineStr">
        <is>
          <t>Scale 0-10</t>
        </is>
      </c>
      <c r="F28" s="18" t="n"/>
      <c r="G28" s="19">
        <f>IF(OR(F28="",NOT(ISNUMBER(F28))),"",IFERROR(VLOOKUP(F28,'Assessment Scale'!$A$3:$C$13,3,FALSE),""))</f>
        <v/>
      </c>
      <c r="H28" s="18" t="n"/>
    </row>
    <row r="29">
      <c r="A29" s="14" t="inlineStr"/>
      <c r="B29" s="14" t="inlineStr">
        <is>
          <t>Q23</t>
        </is>
      </c>
      <c r="C29" s="15" t="inlineStr">
        <is>
          <t>How mature is the use of platform engineering practices — are developer-facing platforms self-service and well-governed?</t>
        </is>
      </c>
      <c r="D29" s="16" t="n"/>
      <c r="E29" s="17" t="inlineStr">
        <is>
          <t>Scale 0-10</t>
        </is>
      </c>
      <c r="F29" s="18" t="n"/>
      <c r="G29" s="19">
        <f>IF(OR(F29="",NOT(ISNUMBER(F29))),"",IFERROR(VLOOKUP(F29,'Assessment Scale'!$A$3:$C$13,3,FALSE),""))</f>
        <v/>
      </c>
      <c r="H29" s="18" t="n"/>
    </row>
    <row r="30">
      <c r="A30" s="14" t="inlineStr"/>
      <c r="B30" s="14" t="inlineStr">
        <is>
          <t>Q24</t>
        </is>
      </c>
      <c r="C30" s="15" t="inlineStr">
        <is>
          <t>Are orchestration and container management (e.g., Kubernetes) used appropriately and configured to GC standards?</t>
        </is>
      </c>
      <c r="D30" s="16" t="n"/>
      <c r="E30" s="17" t="inlineStr">
        <is>
          <t>Scale 0-10</t>
        </is>
      </c>
      <c r="F30" s="18" t="n"/>
      <c r="G30" s="19">
        <f>IF(OR(F30="",NOT(ISNUMBER(F30))),"",IFERROR(VLOOKUP(F30,'Assessment Scale'!$A$3:$C$13,3,FALSE),""))</f>
        <v/>
      </c>
      <c r="H30" s="18" t="n"/>
    </row>
    <row r="31" ht="24" customHeight="1">
      <c r="A31" s="10" t="inlineStr">
        <is>
          <t>Resilience, Sovereignty &amp; Security — Section weight: 25%</t>
        </is>
      </c>
      <c r="B31" s="11" t="n"/>
      <c r="C31" s="11" t="n"/>
      <c r="D31" s="11" t="n"/>
      <c r="E31" s="11" t="n"/>
      <c r="F31" s="12">
        <f>IFERROR(ROUND(AVERAGE(F32:F39),1),"")</f>
        <v/>
      </c>
      <c r="G31" s="13" t="n">
        <v>0.25</v>
      </c>
      <c r="H31" s="11" t="n"/>
    </row>
    <row r="32">
      <c r="A32" s="14" t="inlineStr">
        <is>
          <t>S4</t>
        </is>
      </c>
      <c r="B32" s="14" t="inlineStr">
        <is>
          <t>Q25</t>
        </is>
      </c>
      <c r="C32" s="15" t="inlineStr">
        <is>
          <t>Are resilience requirements (availability tiers, fault tolerance, geo-redundancy) formally defined and validated in design?</t>
        </is>
      </c>
      <c r="D32" s="16" t="n"/>
      <c r="E32" s="17" t="inlineStr">
        <is>
          <t>Scale 0-10</t>
        </is>
      </c>
      <c r="F32" s="18" t="n"/>
      <c r="G32" s="19">
        <f>IF(OR(F32="",NOT(ISNUMBER(F32))),"",IFERROR(VLOOKUP(F32,'Assessment Scale'!$A$3:$C$13,3,FALSE),""))</f>
        <v/>
      </c>
      <c r="H32" s="18" t="n"/>
    </row>
    <row r="33">
      <c r="A33" s="14" t="inlineStr"/>
      <c r="B33" s="14" t="inlineStr">
        <is>
          <t>Q26</t>
        </is>
      </c>
      <c r="C33" s="15" t="inlineStr">
        <is>
          <t>Is the solution's data sovereignty posture clearly documented, including data residency and foreign access risk mitigation?</t>
        </is>
      </c>
      <c r="D33" s="20" t="inlineStr">
        <is>
          <t>Security</t>
        </is>
      </c>
      <c r="E33" s="17" t="inlineStr">
        <is>
          <t>Scale 0-10</t>
        </is>
      </c>
      <c r="F33" s="18" t="n"/>
      <c r="G33" s="19">
        <f>IF(OR(F33="",NOT(ISNUMBER(F33))),"",IFERROR(VLOOKUP(F33,'Assessment Scale'!$A$3:$C$13,3,FALSE),""))</f>
        <v/>
      </c>
      <c r="H33" s="18" t="n"/>
    </row>
    <row r="34">
      <c r="A34" s="14" t="inlineStr"/>
      <c r="B34" s="14" t="inlineStr">
        <is>
          <t>Q27</t>
        </is>
      </c>
      <c r="C34" s="15" t="inlineStr">
        <is>
          <t>How mature is the zero-trust security architecture — is authentication, authorization, and segmentation enforced throughout?</t>
        </is>
      </c>
      <c r="D34" s="20" t="inlineStr">
        <is>
          <t>Security</t>
        </is>
      </c>
      <c r="E34" s="17" t="inlineStr">
        <is>
          <t>Scale 0-10</t>
        </is>
      </c>
      <c r="F34" s="18" t="n"/>
      <c r="G34" s="19">
        <f>IF(OR(F34="",NOT(ISNUMBER(F34))),"",IFERROR(VLOOKUP(F34,'Assessment Scale'!$A$3:$C$13,3,FALSE),""))</f>
        <v/>
      </c>
      <c r="H34" s="18" t="n"/>
    </row>
    <row r="35">
      <c r="A35" s="14" t="inlineStr"/>
      <c r="B35" s="14" t="inlineStr">
        <is>
          <t>Q28</t>
        </is>
      </c>
      <c r="C35" s="15" t="inlineStr">
        <is>
          <t>Is encryption applied appropriately at rest, in transit, and in processing, using GC-approved cryptographic standards?</t>
        </is>
      </c>
      <c r="D35" s="20" t="inlineStr">
        <is>
          <t>Security</t>
        </is>
      </c>
      <c r="E35" s="17" t="inlineStr">
        <is>
          <t>Scale 0-10</t>
        </is>
      </c>
      <c r="F35" s="18" t="n"/>
      <c r="G35" s="19">
        <f>IF(OR(F35="",NOT(ISNUMBER(F35))),"",IFERROR(VLOOKUP(F35,'Assessment Scale'!$A$3:$C$13,3,FALSE),""))</f>
        <v/>
      </c>
      <c r="H35" s="18" t="n"/>
    </row>
    <row r="36">
      <c r="A36" s="14" t="inlineStr"/>
      <c r="B36" s="14" t="inlineStr">
        <is>
          <t>Q29</t>
        </is>
      </c>
      <c r="C36" s="15" t="inlineStr">
        <is>
          <t>Has a Threat and Risk Assessment (TRA) or Security Assessment and Authorization (SA&amp;A) been completed and reflected in design?</t>
        </is>
      </c>
      <c r="D36" s="20" t="inlineStr">
        <is>
          <t>Security</t>
        </is>
      </c>
      <c r="E36" s="21" t="inlineStr">
        <is>
          <t>Yes / No</t>
        </is>
      </c>
      <c r="F36" s="18" t="n"/>
      <c r="G36" s="19">
        <f>IF(OR(F36="",NOT(ISNUMBER(F36))),"",IFERROR(VLOOKUP(F36,'Assessment Scale'!$A$3:$C$13,3,FALSE),""))</f>
        <v/>
      </c>
      <c r="H36" s="18" t="n"/>
    </row>
    <row r="37">
      <c r="A37" s="14" t="inlineStr"/>
      <c r="B37" s="14" t="inlineStr">
        <is>
          <t>Q30</t>
        </is>
      </c>
      <c r="C37" s="15" t="inlineStr">
        <is>
          <t>Are security controls validated through automated security testing, vulnerability scanning, and penetration testing?</t>
        </is>
      </c>
      <c r="D37" s="20" t="inlineStr">
        <is>
          <t>Security</t>
        </is>
      </c>
      <c r="E37" s="17" t="inlineStr">
        <is>
          <t>Scale 0-10</t>
        </is>
      </c>
      <c r="F37" s="18" t="n"/>
      <c r="G37" s="19">
        <f>IF(OR(F37="",NOT(ISNUMBER(F37))),"",IFERROR(VLOOKUP(F37,'Assessment Scale'!$A$3:$C$13,3,FALSE),""))</f>
        <v/>
      </c>
      <c r="H37" s="18" t="n"/>
    </row>
    <row r="38">
      <c r="A38" s="14" t="inlineStr"/>
      <c r="B38" s="14" t="inlineStr">
        <is>
          <t>Q31</t>
        </is>
      </c>
      <c r="C38" s="15" t="inlineStr">
        <is>
          <t>Is there a documented and tested disaster recovery plan, with defined RTO and RPO that align to business requirements?</t>
        </is>
      </c>
      <c r="D38" s="16" t="n"/>
      <c r="E38" s="17" t="inlineStr">
        <is>
          <t>Scale 0-10</t>
        </is>
      </c>
      <c r="F38" s="18" t="n"/>
      <c r="G38" s="19">
        <f>IF(OR(F38="",NOT(ISNUMBER(F38))),"",IFERROR(VLOOKUP(F38,'Assessment Scale'!$A$3:$C$13,3,FALSE),""))</f>
        <v/>
      </c>
      <c r="H38" s="18" t="n"/>
    </row>
    <row r="39">
      <c r="A39" s="14" t="inlineStr"/>
      <c r="B39" s="14" t="inlineStr">
        <is>
          <t>Q32</t>
        </is>
      </c>
      <c r="C39" s="15" t="inlineStr">
        <is>
          <t>Are GC Cloud Guardrails and security baseline configurations implemented and continuously validated?</t>
        </is>
      </c>
      <c r="D39" s="20" t="inlineStr">
        <is>
          <t>Security</t>
        </is>
      </c>
      <c r="E39" s="17" t="inlineStr">
        <is>
          <t>Scale 0-10</t>
        </is>
      </c>
      <c r="F39" s="18" t="n"/>
      <c r="G39" s="19">
        <f>IF(OR(F39="",NOT(ISNUMBER(F39))),"",IFERROR(VLOOKUP(F39,'Assessment Scale'!$A$3:$C$13,3,FALSE),""))</f>
        <v/>
      </c>
      <c r="H39" s="18" t="n"/>
    </row>
    <row r="40" ht="24" customHeight="1">
      <c r="A40" s="10" t="inlineStr">
        <is>
          <t>Operations, Governance &amp; Continuous Management — Section weight: 20%</t>
        </is>
      </c>
      <c r="B40" s="11" t="n"/>
      <c r="C40" s="11" t="n"/>
      <c r="D40" s="11" t="n"/>
      <c r="E40" s="11" t="n"/>
      <c r="F40" s="12">
        <f>IFERROR(ROUND(AVERAGE(F41:F47),1),"")</f>
        <v/>
      </c>
      <c r="G40" s="13" t="n">
        <v>0.2</v>
      </c>
      <c r="H40" s="11" t="n"/>
    </row>
    <row r="41">
      <c r="A41" s="14" t="inlineStr">
        <is>
          <t>S5</t>
        </is>
      </c>
      <c r="B41" s="14" t="inlineStr">
        <is>
          <t>Q33</t>
        </is>
      </c>
      <c r="C41" s="15" t="inlineStr">
        <is>
          <t>Are real-time monitoring, alerting, and incident response capabilities in place and actively used?</t>
        </is>
      </c>
      <c r="D41" s="16" t="n"/>
      <c r="E41" s="17" t="inlineStr">
        <is>
          <t>Scale 0-10</t>
        </is>
      </c>
      <c r="F41" s="18" t="n"/>
      <c r="G41" s="19">
        <f>IF(OR(F41="",NOT(ISNUMBER(F41))),"",IFERROR(VLOOKUP(F41,'Assessment Scale'!$A$3:$C$13,3,FALSE),""))</f>
        <v/>
      </c>
      <c r="H41" s="18" t="n"/>
    </row>
    <row r="42">
      <c r="A42" s="14" t="inlineStr"/>
      <c r="B42" s="14" t="inlineStr">
        <is>
          <t>Q34</t>
        </is>
      </c>
      <c r="C42" s="15" t="inlineStr">
        <is>
          <t>Is activity auditing implemented at the infrastructure level, enabling forensic investigation and compliance verification?</t>
        </is>
      </c>
      <c r="D42" s="16" t="n"/>
      <c r="E42" s="17" t="inlineStr">
        <is>
          <t>Scale 0-10</t>
        </is>
      </c>
      <c r="F42" s="18" t="n"/>
      <c r="G42" s="19">
        <f>IF(OR(F42="",NOT(ISNUMBER(F42))),"",IFERROR(VLOOKUP(F42,'Assessment Scale'!$A$3:$C$13,3,FALSE),""))</f>
        <v/>
      </c>
      <c r="H42" s="18" t="n"/>
    </row>
    <row r="43">
      <c r="A43" s="14" t="inlineStr"/>
      <c r="B43" s="14" t="inlineStr">
        <is>
          <t>Q35</t>
        </is>
      </c>
      <c r="C43" s="15" t="inlineStr">
        <is>
          <t>How mature is the FinOps practice — are cloud and infrastructure costs tracked, attributed, optimized, and reported?</t>
        </is>
      </c>
      <c r="D43" s="20" t="inlineStr">
        <is>
          <t>Financial</t>
        </is>
      </c>
      <c r="E43" s="17" t="inlineStr">
        <is>
          <t>Scale 0-10</t>
        </is>
      </c>
      <c r="F43" s="18" t="n"/>
      <c r="G43" s="19">
        <f>IF(OR(F43="",NOT(ISNUMBER(F43))),"",IFERROR(VLOOKUP(F43,'Assessment Scale'!$A$3:$C$13,3,FALSE),""))</f>
        <v/>
      </c>
      <c r="H43" s="18" t="n"/>
    </row>
    <row r="44">
      <c r="A44" s="14" t="inlineStr"/>
      <c r="B44" s="14" t="inlineStr">
        <is>
          <t>Q36</t>
        </is>
      </c>
      <c r="C44" s="15" t="inlineStr">
        <is>
          <t>Is there infrastructure-level observability (metrics, logs, traces) that provides end-to-end system visibility?</t>
        </is>
      </c>
      <c r="D44" s="16" t="n"/>
      <c r="E44" s="17" t="inlineStr">
        <is>
          <t>Scale 0-10</t>
        </is>
      </c>
      <c r="F44" s="18" t="n"/>
      <c r="G44" s="19">
        <f>IF(OR(F44="",NOT(ISNUMBER(F44))),"",IFERROR(VLOOKUP(F44,'Assessment Scale'!$A$3:$C$13,3,FALSE),""))</f>
        <v/>
      </c>
      <c r="H44" s="18" t="n"/>
    </row>
    <row r="45">
      <c r="A45" s="14" t="inlineStr"/>
      <c r="B45" s="14" t="inlineStr">
        <is>
          <t>Q37</t>
        </is>
      </c>
      <c r="C45" s="15" t="inlineStr">
        <is>
          <t>Are resource governance policies enforced — including tagging, cost allocation, and access to shared infrastructure?</t>
        </is>
      </c>
      <c r="D45" s="20" t="inlineStr">
        <is>
          <t>Financial</t>
        </is>
      </c>
      <c r="E45" s="17" t="inlineStr">
        <is>
          <t>Scale 0-10</t>
        </is>
      </c>
      <c r="F45" s="18" t="n"/>
      <c r="G45" s="19">
        <f>IF(OR(F45="",NOT(ISNUMBER(F45))),"",IFERROR(VLOOKUP(F45,'Assessment Scale'!$A$3:$C$13,3,FALSE),""))</f>
        <v/>
      </c>
      <c r="H45" s="18" t="n"/>
    </row>
    <row r="46">
      <c r="A46" s="14" t="inlineStr"/>
      <c r="B46" s="14" t="inlineStr">
        <is>
          <t>Q38</t>
        </is>
      </c>
      <c r="C46" s="15" t="inlineStr">
        <is>
          <t>Is there a continuous business need (CBN) process to evaluate whether infrastructure investment remains justified?</t>
        </is>
      </c>
      <c r="D46" s="20" t="inlineStr">
        <is>
          <t>Financial</t>
        </is>
      </c>
      <c r="E46" s="21" t="inlineStr">
        <is>
          <t>Yes / No</t>
        </is>
      </c>
      <c r="F46" s="18" t="n"/>
      <c r="G46" s="19">
        <f>IF(OR(F46="",NOT(ISNUMBER(F46))),"",IFERROR(VLOOKUP(F46,'Assessment Scale'!$A$3:$C$13,3,FALSE),""))</f>
        <v/>
      </c>
      <c r="H46" s="18" t="n"/>
    </row>
    <row r="47">
      <c r="A47" s="14" t="inlineStr"/>
      <c r="B47" s="14" t="inlineStr">
        <is>
          <t>Q39</t>
        </is>
      </c>
      <c r="C47" s="15" t="inlineStr">
        <is>
          <t>How mature is the infrastructure change management process — are changes reviewed, approved, and traceable?</t>
        </is>
      </c>
      <c r="D47" s="16" t="n"/>
      <c r="E47" s="17" t="inlineStr">
        <is>
          <t>Scale 0-10</t>
        </is>
      </c>
      <c r="F47" s="18" t="n"/>
      <c r="G47" s="19">
        <f>IF(OR(F47="",NOT(ISNUMBER(F47))),"",IFERROR(VLOOKUP(F47,'Assessment Scale'!$A$3:$C$13,3,FALSE),""))</f>
        <v/>
      </c>
      <c r="H47" s="18" t="n"/>
    </row>
    <row r="49">
      <c r="A49" s="22" t="inlineStr">
        <is>
          <t>Domain score, weighted across the sections answered</t>
        </is>
      </c>
      <c r="B49" s="23" t="n"/>
      <c r="C49" s="23" t="n"/>
      <c r="D49" s="23" t="n"/>
      <c r="E49" s="23" t="n"/>
      <c r="F49" s="24">
        <f>IFERROR(ROUND((N(F4)*N(G4)+N(F12)*N(G12)+N(F23)*N(G23)+N(F31)*N(G31)+N(F40)*N(G40))/((F4&lt;&gt;"")*N(G4)+(F12&lt;&gt;"")*N(G12)+(F23&lt;&gt;"")*N(G23)+(F31&lt;&gt;"")*N(G31)+(F40&lt;&gt;"")*N(G40)),1),"")</f>
        <v/>
      </c>
      <c r="G49" s="25" t="inlineStr">
        <is>
          <t>out of 10</t>
        </is>
      </c>
      <c r="H49" s="23" t="n"/>
    </row>
  </sheetData>
  <mergeCells count="8">
    <mergeCell ref="A12:E12"/>
    <mergeCell ref="A4:E4"/>
    <mergeCell ref="A2:H2"/>
    <mergeCell ref="A40:E40"/>
    <mergeCell ref="A49:E49"/>
    <mergeCell ref="A23:E23"/>
    <mergeCell ref="A1:H1"/>
    <mergeCell ref="A31:E31"/>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26" t="inlineStr">
        <is>
          <t>Score</t>
        </is>
      </c>
      <c r="B2" s="26" t="inlineStr">
        <is>
          <t>Colour</t>
        </is>
      </c>
      <c r="C2" s="26" t="inlineStr">
        <is>
          <t>Label</t>
        </is>
      </c>
      <c r="D2" s="26" t="inlineStr">
        <is>
          <t>Description</t>
        </is>
      </c>
    </row>
    <row r="3">
      <c r="A3" s="27" t="n">
        <v>0</v>
      </c>
      <c r="B3" s="27" t="inlineStr">
        <is>
          <t>Black</t>
        </is>
      </c>
      <c r="C3" s="27" t="inlineStr">
        <is>
          <t>Absent</t>
        </is>
      </c>
      <c r="D3" s="15" t="inlineStr">
        <is>
          <t>No formal architecture. Capabilities are missing, and manual workarounds are the only way to achieve business outcomes.</t>
        </is>
      </c>
    </row>
    <row r="4">
      <c r="A4" s="28" t="n">
        <v>1</v>
      </c>
      <c r="B4" s="28" t="inlineStr">
        <is>
          <t>Dark Red</t>
        </is>
      </c>
      <c r="C4" s="28" t="inlineStr">
        <is>
          <t>Critical Gaps</t>
        </is>
      </c>
      <c r="D4" s="15" t="inlineStr">
        <is>
          <t>A skeleton exists, but core capabilities (like security or data integrity) are missing. High risk of systemic failure.</t>
        </is>
      </c>
    </row>
    <row r="5">
      <c r="A5" s="29" t="n">
        <v>2</v>
      </c>
      <c r="B5" s="29" t="inlineStr">
        <is>
          <t>Red</t>
        </is>
      </c>
      <c r="C5" s="29" t="inlineStr">
        <is>
          <t>Fragmented</t>
        </is>
      </c>
      <c r="D5" s="15" t="inlineStr">
        <is>
          <t>Capabilities exist in "silos." They are inconsistent, undocumented, and require constant manual intervention to stay synchronized.</t>
        </is>
      </c>
    </row>
    <row r="6">
      <c r="A6" s="30" t="n">
        <v>3</v>
      </c>
      <c r="B6" s="30" t="inlineStr">
        <is>
          <t>Orange</t>
        </is>
      </c>
      <c r="C6" s="30" t="inlineStr">
        <is>
          <t>Emergent</t>
        </is>
      </c>
      <c r="D6" s="15" t="inlineStr">
        <is>
          <t>Core capabilities are present but brittle. The architecture meets the "happy path" but fails under stress or edge cases.</t>
        </is>
      </c>
    </row>
    <row r="7">
      <c r="A7" s="31" t="n">
        <v>4</v>
      </c>
      <c r="B7" s="31" t="inlineStr">
        <is>
          <t>Orange-Yellow</t>
        </is>
      </c>
      <c r="C7" s="31" t="inlineStr">
        <is>
          <t>Defined</t>
        </is>
      </c>
      <c r="D7" s="15" t="inlineStr">
        <is>
          <t>The architecture meets basic functional requirements. Documentation exists, but Quality Attributes (scalability, maintainability) are an afterthought.</t>
        </is>
      </c>
    </row>
    <row r="8">
      <c r="A8" s="32" t="n">
        <v>5</v>
      </c>
      <c r="B8" s="32" t="inlineStr">
        <is>
          <t>Yellow</t>
        </is>
      </c>
      <c r="C8" s="32" t="inlineStr">
        <is>
          <t>Integrated</t>
        </is>
      </c>
      <c r="D8" s="15" t="inlineStr">
        <is>
          <t>This is the Baseline. All desired capabilities are present and connected. The system is stable and performs as expected under normal conditions.</t>
        </is>
      </c>
    </row>
    <row r="9">
      <c r="A9" s="33" t="n">
        <v>6</v>
      </c>
      <c r="B9" s="33" t="inlineStr">
        <is>
          <t>Yellow-Green</t>
        </is>
      </c>
      <c r="C9" s="33" t="inlineStr">
        <is>
          <t>Managed</t>
        </is>
      </c>
      <c r="D9" s="15" t="inlineStr">
        <is>
          <t>Capabilities are monitored and measured. The architecture can handle predictable growth and has basic fault tolerance.</t>
        </is>
      </c>
    </row>
    <row r="10">
      <c r="A10" s="34" t="n">
        <v>7</v>
      </c>
      <c r="B10" s="34" t="inlineStr">
        <is>
          <t>Green</t>
        </is>
      </c>
      <c r="C10" s="34" t="inlineStr">
        <is>
          <t>Scalable &amp; Secure</t>
        </is>
      </c>
      <c r="D10" s="15" t="inlineStr">
        <is>
          <t>The architecture is "hardened." It handles bursts in demand effortlessly and has proactive security measures built into the design.</t>
        </is>
      </c>
    </row>
    <row r="11">
      <c r="A11" s="35" t="n">
        <v>8</v>
      </c>
      <c r="B11" s="35" t="inlineStr">
        <is>
          <t>Dark Green</t>
        </is>
      </c>
      <c r="C11" s="35" t="inlineStr">
        <is>
          <t>Agile/Extensible</t>
        </is>
      </c>
      <c r="D11" s="15" t="inlineStr">
        <is>
          <t>The architecture is modular. Adding a new desired capability does not require a rewrite; the system is designed to be plugged into and extended.</t>
        </is>
      </c>
    </row>
    <row r="12">
      <c r="A12" s="36" t="n">
        <v>9</v>
      </c>
      <c r="B12" s="36" t="inlineStr">
        <is>
          <t>Blue</t>
        </is>
      </c>
      <c r="C12" s="36" t="inlineStr">
        <is>
          <t>Predictive</t>
        </is>
      </c>
      <c r="D12" s="15" t="inlineStr">
        <is>
          <t>The architecture uses telemetry and AI/ML to anticipate needs (e.g., auto-scaling before a spike or self-healing before a crash).</t>
        </is>
      </c>
    </row>
    <row r="13">
      <c r="A13" s="37" t="n">
        <v>10</v>
      </c>
      <c r="B13" s="37" t="inlineStr">
        <is>
          <t>Purple</t>
        </is>
      </c>
      <c r="C13" s="37" t="inlineStr">
        <is>
          <t>Symbiotic</t>
        </is>
      </c>
      <c r="D13" s="15"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4" customWidth="1" min="3" max="3"/>
    <col width="34" customWidth="1" min="4" max="4"/>
  </cols>
  <sheetData>
    <row r="1" ht="30" customHeight="1">
      <c r="A1" s="6" t="inlineStr">
        <is>
          <t>GC Enterprise Architecture Assessment · Summary Dashboard</t>
        </is>
      </c>
    </row>
    <row r="2">
      <c r="A2" s="38" t="inlineStr">
        <is>
          <t>Scores below are automatically calculated from the four architecture worksheets. Enter scores on each tab to populate this dashboard.</t>
        </is>
      </c>
      <c r="B2" s="38" t="n"/>
      <c r="C2" s="38" t="n"/>
      <c r="D2" s="38" t="n"/>
    </row>
    <row r="3">
      <c r="A3" s="15" t="inlineStr">
        <is>
          <t>Architecture Domain</t>
        </is>
      </c>
      <c r="B3" s="15" t="inlineStr">
        <is>
          <t>Score (0–10)</t>
        </is>
      </c>
      <c r="C3" s="15" t="inlineStr">
        <is>
          <t>Maturity Level</t>
        </is>
      </c>
      <c r="D3" s="15" t="inlineStr">
        <is>
          <t>GC EA Weight</t>
        </is>
      </c>
    </row>
    <row r="4">
      <c r="A4" s="15" t="inlineStr">
        <is>
          <t>Business Architecture</t>
        </is>
      </c>
      <c r="B4" s="39">
        <f>IFERROR('Business Architecture'!F72,"")</f>
        <v/>
      </c>
      <c r="C4" s="15">
        <f>IF(B4="","Awaiting input",IFERROR(VLOOKUP(ROUND(B4,0),'Assessment Scale'!$A$3:$C$13,3,FALSE),"Awaiting input"))</f>
        <v/>
      </c>
      <c r="D4" s="15" t="inlineStr">
        <is>
          <t>25% of overall GC EA score</t>
        </is>
      </c>
    </row>
    <row r="5">
      <c r="A5" s="15" t="inlineStr">
        <is>
          <t>Data &amp; Information Architecture</t>
        </is>
      </c>
      <c r="B5" s="39">
        <f>IFERROR('Data &amp; Information Architecture'!F49,"")</f>
        <v/>
      </c>
      <c r="C5" s="15">
        <f>IF(B5="","Awaiting input",IFERROR(VLOOKUP(ROUND(B5,0),'Assessment Scale'!$A$3:$C$13,3,FALSE),"Awaiting input"))</f>
        <v/>
      </c>
      <c r="D5" s="15" t="inlineStr">
        <is>
          <t>25% of overall GC EA score</t>
        </is>
      </c>
    </row>
    <row r="6">
      <c r="A6" s="15" t="inlineStr">
        <is>
          <t>Application &amp; Virtual Architecture</t>
        </is>
      </c>
      <c r="B6" s="39">
        <f>IFERROR('Application &amp; Virtual Architect'!F46,"")</f>
        <v/>
      </c>
      <c r="C6" s="15">
        <f>IF(B6="","Awaiting input",IFERROR(VLOOKUP(ROUND(B6,0),'Assessment Scale'!$A$3:$C$13,3,FALSE),"Awaiting input"))</f>
        <v/>
      </c>
      <c r="D6" s="15" t="inlineStr">
        <is>
          <t>25% of overall GC EA score</t>
        </is>
      </c>
    </row>
    <row r="7">
      <c r="A7" s="15" t="inlineStr">
        <is>
          <t>Technology &amp; Physical Architecture</t>
        </is>
      </c>
      <c r="B7" s="39">
        <f>IFERROR('Technology &amp; Physical Architect'!F49,"")</f>
        <v/>
      </c>
      <c r="C7" s="15">
        <f>IF(B7="","Awaiting input",IFERROR(VLOOKUP(ROUND(B7,0),'Assessment Scale'!$A$3:$C$13,3,FALSE),"Awaiting input"))</f>
        <v/>
      </c>
      <c r="D7" s="15" t="inlineStr">
        <is>
          <t>25% of overall GC EA score</t>
        </is>
      </c>
    </row>
    <row r="8"/>
    <row r="9"/>
    <row r="10">
      <c r="A10" s="40" t="inlineStr">
        <is>
          <t>OVERALL GC EA MATURITY SCORE</t>
        </is>
      </c>
      <c r="B10" s="41">
        <f>IFERROR(ROUND((N(B4)+N(B5)+N(B6)+N(B7))/((B4&lt;&gt;"")+(B5&lt;&gt;"")+(B6&lt;&gt;"")+(B7&lt;&gt;"")),1),"")</f>
        <v/>
      </c>
      <c r="C10" s="42">
        <f>IF(B10="","Awaiting input",IFERROR(VLOOKUP(ROUND(B10,0),'Assessment Scale'!$A$3:$C$13,3,FALSE),"Awaiting input"))</f>
        <v/>
      </c>
      <c r="D10" s="40" t="n"/>
    </row>
    <row r="12">
      <c r="A12" s="15" t="inlineStr">
        <is>
          <t>Score Reference Guide</t>
        </is>
      </c>
      <c r="B12" s="15" t="n"/>
      <c r="C12" s="15" t="n"/>
      <c r="D12" s="15" t="n"/>
    </row>
    <row r="13">
      <c r="A13" s="15" t="inlineStr">
        <is>
          <t>Score 0–2 — Critical Risk</t>
        </is>
      </c>
      <c r="B13" s="15" t="inlineStr">
        <is>
          <t>Immediate intervention required. Core capabilities absent or severely compromised.</t>
        </is>
      </c>
      <c r="C13" s="15" t="n"/>
      <c r="D13" s="15" t="n"/>
    </row>
    <row r="14">
      <c r="A14" s="15" t="inlineStr">
        <is>
          <t>Score 3–4 — Developing</t>
        </is>
      </c>
      <c r="B14" s="15" t="inlineStr">
        <is>
          <t>Foundational elements exist but architecture is immature and at risk under stress.</t>
        </is>
      </c>
      <c r="C14" s="15" t="n"/>
      <c r="D14" s="15" t="n"/>
    </row>
    <row r="15">
      <c r="A15" s="15" t="inlineStr">
        <is>
          <t>Score 5–6 — Baseline Ready</t>
        </is>
      </c>
      <c r="B15" s="15" t="inlineStr">
        <is>
          <t>Core capabilities present and stable. Meets minimum GC EA expectations.</t>
        </is>
      </c>
      <c r="C15" s="15" t="n"/>
      <c r="D15" s="15" t="n"/>
    </row>
    <row r="16">
      <c r="A16" s="15" t="inlineStr">
        <is>
          <t>Score 7–8 — Advanced</t>
        </is>
      </c>
      <c r="B16" s="15" t="inlineStr">
        <is>
          <t>Hardened, scalable, and modular. Demonstrably high-quality architecture.</t>
        </is>
      </c>
      <c r="C16" s="15" t="n"/>
      <c r="D16" s="15" t="n"/>
    </row>
    <row r="17">
      <c r="A17" s="15" t="inlineStr">
        <is>
          <t>Score 9–10 — Leading Practice</t>
        </is>
      </c>
      <c r="B17" s="15" t="inlineStr">
        <is>
          <t>Predictive, self-optimizing, fully aligned with business strategy.</t>
        </is>
      </c>
      <c r="C17" s="15" t="n"/>
      <c r="D17" s="15" t="n"/>
    </row>
    <row r="19">
      <c r="A19" s="43" t="inlineStr">
        <is>
          <t>Every number on this tab is calculated from the four question sheets. The four domains carry 25% each, and a domain with no answers yet is left out of the overall rather than counted as zero.</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2026-09-17T19:57:10Z</dcterms:created>
  <dcterms:modified xsi:type="dcterms:W3CDTF">2026-09-17T19:57:11Z</dcterms:modified>
</cp:coreProperties>
</file>