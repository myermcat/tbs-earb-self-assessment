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Business Architecture" sheetId="2" state="visible" r:id="rId2"/>
    <sheet name="Data &amp; Information Architecture" sheetId="3" state="visible" r:id="rId3"/>
    <sheet name="Application &amp; Virtual Architect" sheetId="4" state="visible" r:id="rId4"/>
    <sheet name="Technology &amp; Physical Architect" sheetId="5" state="visible" r:id="rId5"/>
    <sheet name="Assessment Scale" sheetId="6" state="visible" r:id="rId6"/>
    <sheet name="Summary Dashboard" sheetId="7" state="visible" r:id="rId7"/>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Calibri"/>
      <b val="1"/>
      <color rgb="001A1A1A"/>
      <sz val="18"/>
    </font>
    <font>
      <name val="Calibri"/>
      <color rgb="006B6B6B"/>
      <sz val="11"/>
    </font>
    <font>
      <name val="Calibri"/>
      <b val="1"/>
      <color rgb="001A1A1A"/>
      <sz val="14"/>
    </font>
    <font>
      <name val="Calibri"/>
      <color rgb="001A1A1A"/>
      <sz val="11"/>
    </font>
    <font>
      <name val="Calibri"/>
      <b val="1"/>
      <color rgb="00B03A2E"/>
      <sz val="14"/>
    </font>
    <font>
      <name val="Calibri"/>
      <b val="1"/>
      <color rgb="00FFFFFF"/>
      <sz val="15"/>
    </font>
    <font>
      <name val="Calibri"/>
      <color rgb="006B6B6B"/>
      <sz val="10"/>
    </font>
    <font>
      <name val="Calibri"/>
      <b val="1"/>
      <color rgb="00FFFFFF"/>
      <sz val="10"/>
    </font>
    <font>
      <name val="Calibri"/>
      <b val="1"/>
      <color rgb="0031445C"/>
      <sz val="11"/>
    </font>
    <font>
      <name val="Calibri"/>
      <sz val="10.5"/>
    </font>
    <font>
      <name val="Calibri"/>
      <color rgb="0031445C"/>
      <sz val="10"/>
    </font>
    <font>
      <name val="Calibri"/>
      <b val="1"/>
      <color rgb="0031445C"/>
      <sz val="10"/>
    </font>
    <font>
      <name val="Calibri"/>
      <color rgb="006B6B6B"/>
      <sz val="9"/>
    </font>
    <font>
      <name val="Calibri"/>
      <b val="1"/>
      <color rgb="0031445C"/>
      <sz val="13"/>
    </font>
    <font>
      <name val="Calibri"/>
      <b val="1"/>
      <color rgb="00FFFFFF"/>
      <sz val="10.5"/>
    </font>
    <font>
      <name val="Calibri"/>
      <b val="1"/>
      <color rgb="001A1A1A"/>
      <sz val="10.5"/>
    </font>
    <font>
      <name val="Calibri"/>
      <b val="1"/>
      <sz val="10.5"/>
    </font>
    <font>
      <name val="Calibri"/>
      <b val="1"/>
      <color rgb="0031445C"/>
      <sz val="12"/>
    </font>
    <font>
      <name val="Calibri"/>
      <b val="1"/>
      <color rgb="0031445C"/>
      <sz val="14"/>
    </font>
    <font>
      <name val="Calibri"/>
      <b val="1"/>
      <sz val="12"/>
    </font>
    <font>
      <name val="Calibri"/>
      <i val="1"/>
      <color rgb="006B6B6B"/>
      <sz val="10"/>
    </font>
  </fonts>
  <fills count="16">
    <fill>
      <patternFill/>
    </fill>
    <fill>
      <patternFill patternType="gray125"/>
    </fill>
    <fill>
      <patternFill patternType="solid">
        <fgColor rgb="0031445C"/>
      </patternFill>
    </fill>
    <fill>
      <patternFill patternType="solid">
        <fgColor rgb="00F2F4F7"/>
      </patternFill>
    </fill>
    <fill>
      <patternFill patternType="solid">
        <fgColor rgb="00FFF6DC"/>
      </patternFill>
    </fill>
    <fill>
      <patternFill patternType="solid">
        <fgColor rgb="001A1A1A"/>
      </patternFill>
    </fill>
    <fill>
      <patternFill patternType="solid">
        <fgColor rgb="008B1A1A"/>
      </patternFill>
    </fill>
    <fill>
      <patternFill patternType="solid">
        <fgColor rgb="00C0392B"/>
      </patternFill>
    </fill>
    <fill>
      <patternFill patternType="solid">
        <fgColor rgb="00D35400"/>
      </patternFill>
    </fill>
    <fill>
      <patternFill patternType="solid">
        <fgColor rgb="00E08E0B"/>
      </patternFill>
    </fill>
    <fill>
      <patternFill patternType="solid">
        <fgColor rgb="00F1C40F"/>
      </patternFill>
    </fill>
    <fill>
      <patternFill patternType="solid">
        <fgColor rgb="00A9C23F"/>
      </patternFill>
    </fill>
    <fill>
      <patternFill patternType="solid">
        <fgColor rgb="0027923E"/>
      </patternFill>
    </fill>
    <fill>
      <patternFill patternType="solid">
        <fgColor rgb="0016713A"/>
      </patternFill>
    </fill>
    <fill>
      <patternFill patternType="solid">
        <fgColor rgb="001F6FB2"/>
      </patternFill>
    </fill>
    <fill>
      <patternFill patternType="solid">
        <fgColor rgb="007A4E9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indent="1"/>
    </xf>
    <xf numFmtId="0" fontId="7" fillId="0" borderId="0" pivotButton="0" quotePrefix="0" xfId="0"/>
    <xf numFmtId="0" fontId="8" fillId="2" borderId="1" applyAlignment="1" pivotButton="0" quotePrefix="0" xfId="0">
      <alignment horizontal="left" vertical="bottom" wrapText="1"/>
    </xf>
    <xf numFmtId="0" fontId="8" fillId="2" borderId="1" applyAlignment="1" pivotButton="0" quotePrefix="0" xfId="0">
      <alignment horizontal="center" vertical="bottom" wrapText="1"/>
    </xf>
    <xf numFmtId="0" fontId="9" fillId="3" borderId="0" applyAlignment="1" pivotButton="0" quotePrefix="0" xfId="0">
      <alignment vertical="center" indent="1"/>
    </xf>
    <xf numFmtId="0" fontId="0" fillId="3" borderId="0" pivotButton="0" quotePrefix="0" xfId="0"/>
    <xf numFmtId="0" fontId="9" fillId="3" borderId="0" applyAlignment="1" pivotButton="0" quotePrefix="0" xfId="0">
      <alignment horizontal="center" vertical="center"/>
    </xf>
    <xf numFmtId="9" fontId="13" fillId="3" borderId="0" applyAlignment="1" pivotButton="0" quotePrefix="0" xfId="0">
      <alignment horizontal="center" vertical="center"/>
    </xf>
    <xf numFmtId="0" fontId="0" fillId="0" borderId="1" applyAlignment="1" pivotButton="0" quotePrefix="0" xfId="0">
      <alignment horizontal="center" vertical="center"/>
    </xf>
    <xf numFmtId="0" fontId="10" fillId="0" borderId="1" applyAlignment="1" pivotButton="0" quotePrefix="0" xfId="0">
      <alignment vertical="top" wrapText="1"/>
    </xf>
    <xf numFmtId="0" fontId="11" fillId="4" borderId="1" applyAlignment="1" pivotButton="0" quotePrefix="0" xfId="0">
      <alignment horizontal="center" vertical="center" wrapText="1"/>
    </xf>
    <xf numFmtId="0" fontId="11" fillId="4" borderId="1" applyAlignment="1" pivotButton="0" quotePrefix="0" xfId="0">
      <alignment horizontal="center" vertical="center"/>
    </xf>
    <xf numFmtId="0" fontId="0" fillId="0" borderId="1" pivotButton="0" quotePrefix="0" xfId="0"/>
    <xf numFmtId="0" fontId="7" fillId="0" borderId="1" applyAlignment="1" pivotButton="0" quotePrefix="0" xfId="0">
      <alignment vertical="center"/>
    </xf>
    <xf numFmtId="0" fontId="12" fillId="4" borderId="1" applyAlignment="1" pivotButton="0" quotePrefix="0" xfId="0">
      <alignment horizontal="center" vertical="center" wrapText="1"/>
    </xf>
    <xf numFmtId="0" fontId="12" fillId="4" borderId="1" applyAlignment="1" pivotButton="0" quotePrefix="0" xfId="0">
      <alignment horizontal="center" vertical="center"/>
    </xf>
    <xf numFmtId="0" fontId="9" fillId="4" borderId="1" pivotButton="0" quotePrefix="0" xfId="0"/>
    <xf numFmtId="0" fontId="0" fillId="4" borderId="1" pivotButton="0" quotePrefix="0" xfId="0"/>
    <xf numFmtId="0" fontId="14" fillId="4" borderId="1" applyAlignment="1" pivotButton="0" quotePrefix="0" xfId="0">
      <alignment horizontal="center" vertical="center"/>
    </xf>
    <xf numFmtId="0" fontId="13" fillId="4" borderId="1" pivotButton="0" quotePrefix="0" xfId="0"/>
    <xf numFmtId="0" fontId="8" fillId="2" borderId="1" pivotButton="0" quotePrefix="0" xfId="0"/>
    <xf numFmtId="0" fontId="15" fillId="5" borderId="1" applyAlignment="1" pivotButton="0" quotePrefix="0" xfId="0">
      <alignment horizontal="center" vertical="center"/>
    </xf>
    <xf numFmtId="0" fontId="15" fillId="6" borderId="1" applyAlignment="1" pivotButton="0" quotePrefix="0" xfId="0">
      <alignment horizontal="center" vertical="center"/>
    </xf>
    <xf numFmtId="0" fontId="15" fillId="7" borderId="1" applyAlignment="1" pivotButton="0" quotePrefix="0" xfId="0">
      <alignment horizontal="center" vertical="center"/>
    </xf>
    <xf numFmtId="0" fontId="15" fillId="8" borderId="1" applyAlignment="1" pivotButton="0" quotePrefix="0" xfId="0">
      <alignment horizontal="center" vertical="center"/>
    </xf>
    <xf numFmtId="0" fontId="16" fillId="9" borderId="1" applyAlignment="1" pivotButton="0" quotePrefix="0" xfId="0">
      <alignment horizontal="center" vertical="center"/>
    </xf>
    <xf numFmtId="0" fontId="16" fillId="10" borderId="1" applyAlignment="1" pivotButton="0" quotePrefix="0" xfId="0">
      <alignment horizontal="center" vertical="center"/>
    </xf>
    <xf numFmtId="0" fontId="16" fillId="11" borderId="1" applyAlignment="1" pivotButton="0" quotePrefix="0" xfId="0">
      <alignment horizontal="center" vertical="center"/>
    </xf>
    <xf numFmtId="0" fontId="15" fillId="12" borderId="1" applyAlignment="1" pivotButton="0" quotePrefix="0" xfId="0">
      <alignment horizontal="center" vertical="center"/>
    </xf>
    <xf numFmtId="0" fontId="15" fillId="13" borderId="1" applyAlignment="1" pivotButton="0" quotePrefix="0" xfId="0">
      <alignment horizontal="center" vertical="center"/>
    </xf>
    <xf numFmtId="0" fontId="15" fillId="14" borderId="1" applyAlignment="1" pivotButton="0" quotePrefix="0" xfId="0">
      <alignment horizontal="center" vertical="center"/>
    </xf>
    <xf numFmtId="0" fontId="15" fillId="15" borderId="1" applyAlignment="1" pivotButton="0" quotePrefix="0" xfId="0">
      <alignment horizontal="center" vertical="center"/>
    </xf>
    <xf numFmtId="0" fontId="17" fillId="0" borderId="0" applyAlignment="1" pivotButton="0" quotePrefix="0" xfId="0">
      <alignment vertical="top" wrapText="1"/>
    </xf>
    <xf numFmtId="0" fontId="18" fillId="0" borderId="1" applyAlignment="1" pivotButton="0" quotePrefix="0" xfId="0">
      <alignment horizontal="center" vertical="center"/>
    </xf>
    <xf numFmtId="0" fontId="17" fillId="0" borderId="1" applyAlignment="1" pivotButton="0" quotePrefix="0" xfId="0">
      <alignment vertical="top" wrapText="1"/>
    </xf>
    <xf numFmtId="0" fontId="19" fillId="0" borderId="1" applyAlignment="1" pivotButton="0" quotePrefix="0" xfId="0">
      <alignment horizontal="center" vertical="center"/>
    </xf>
    <xf numFmtId="0" fontId="20" fillId="0" borderId="1" applyAlignment="1" pivotButton="0" quotePrefix="0" xfId="0">
      <alignment vertical="top" wrapText="1"/>
    </xf>
    <xf numFmtId="0" fontId="2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29"/>
  <sheetViews>
    <sheetView showGridLines="0" workbookViewId="0">
      <selection activeCell="A1" sqref="A1"/>
    </sheetView>
  </sheetViews>
  <sheetFormatPr baseColWidth="8" defaultRowHeight="15"/>
  <cols>
    <col width="3" customWidth="1" min="1" max="1"/>
    <col width="104" customWidth="1" min="2" max="2"/>
  </cols>
  <sheetData>
    <row r="1" ht="28.8" customHeight="1">
      <c r="B1" s="1" t="inlineStr">
        <is>
          <t>GC EA assessment tool — categories</t>
        </is>
      </c>
    </row>
    <row r="2" ht="30" customHeight="1">
      <c r="B2" s="2" t="inlineStr">
        <is>
          <t>Filled in as an example. Every entry below came from a keyword pass over the question wording and is ours, not yours.</t>
        </is>
      </c>
    </row>
    <row r="3" ht="8" customHeight="1"/>
    <row r="4" ht="22.4" customHeight="1">
      <c r="B4" s="3" t="inlineStr">
        <is>
          <t>What we are asking you for</t>
        </is>
      </c>
    </row>
    <row r="5" ht="30" customHeight="1">
      <c r="B5" s="4" t="inlineStr">
        <is>
          <t>Every question already belongs to one domain: the tab it is on. That never changes and you never type it.</t>
        </is>
      </c>
    </row>
    <row r="6" ht="60" customHeight="1">
      <c r="B6" s="4" t="inlineStr">
        <is>
          <t>Some questions are also about something else. A question about encrypting a data store is a Data question and it is also about Security. A question about lifecycle cost is a Business question and it is also about Financial. Those extra subjects are the categories, and the Categories column is where they go.</t>
        </is>
      </c>
    </row>
    <row r="7" ht="8" customHeight="1"/>
    <row r="8" ht="22.4" customHeight="1">
      <c r="B8" s="3" t="inlineStr">
        <is>
          <t>How to fill it in</t>
        </is>
      </c>
    </row>
    <row r="9" ht="17.6" customHeight="1">
      <c r="B9" s="4" t="inlineStr">
        <is>
          <t>1.  Click a cell in the Categories column. A dropdown appears with the five.</t>
        </is>
      </c>
    </row>
    <row r="10" ht="30" customHeight="1">
      <c r="B10" s="4" t="inlineStr">
        <is>
          <t>2.  Tick as many as apply. Most questions need none; 130 of the 176 stay empty, which means "this one is only about its own domain".</t>
        </is>
      </c>
    </row>
    <row r="11" ht="8" customHeight="1"/>
    <row r="12" ht="45" customHeight="1">
      <c r="B12" s="4" t="inlineStr">
        <is>
          <t>If you do type into these cells instead, the tool checks every name when it reads this file and refuses the whole import if one is not recognised, naming the question it was in. A category nobody recognises would otherwise score nothing, on every screen, and never be noticed.</t>
        </is>
      </c>
    </row>
    <row r="13" ht="8" customHeight="1"/>
    <row r="14" ht="22.4" customHeight="1">
      <c r="B14" s="3" t="inlineStr">
        <is>
          <t>The five you fill in</t>
        </is>
      </c>
    </row>
    <row r="15" ht="30" customHeight="1">
      <c r="B15" s="4" t="inlineStr">
        <is>
          <t>Security, Privacy, Financial, Accessibility, Official Languages. Those are the whole of the Categories column.</t>
        </is>
      </c>
    </row>
    <row r="16" ht="30" customHeight="1">
      <c r="B16" s="4" t="inlineStr">
        <is>
          <t>Business, Data, Application and Technology are categories too, and you never type them: a question carries the one its own tab is named after, automatically.</t>
        </is>
      </c>
    </row>
    <row r="17" ht="8" customHeight="1"/>
    <row r="18" ht="45" customHeight="1">
      <c r="B18" s="4" t="inlineStr">
        <is>
          <t>A question can carry as many as apply. It still counts once in the overall score, through its domain, and at full weight inside every category it carries. So the category scores do not add up to the overall, and the tool says so.</t>
        </is>
      </c>
    </row>
    <row r="19" ht="8" customHeight="1"/>
    <row r="20" ht="22.4" customHeight="1">
      <c r="B20" s="5" t="inlineStr">
        <is>
          <t>Never put a question in two domains</t>
        </is>
      </c>
    </row>
    <row r="21" ht="30" customHeight="1">
      <c r="B21" s="4" t="inlineStr">
        <is>
          <t>A question that appears on two tabs is counted twice in the overall score, and the department’s number moves because of how we filed a question. One question, one tab, as many categories as apply.</t>
        </is>
      </c>
    </row>
    <row r="22" ht="8" customHeight="1"/>
    <row r="23" ht="22.4" customHeight="1">
      <c r="B23" s="3" t="inlineStr">
        <is>
          <t>Two categories rest on very little</t>
        </is>
      </c>
    </row>
    <row r="24" ht="60" customHeight="1">
      <c r="B24" s="4" t="inlineStr">
        <is>
          <t>Accessibility is asked about by three questions and Official Languages by two. That is thin, and it is worth knowing before anybody reads a score for either: a number built on two questions moves a long way on one answer. If there should be more, that is a gap in the instrument and not in this column.</t>
        </is>
      </c>
    </row>
    <row r="25" ht="8" customHeight="1"/>
    <row r="26" ht="45" customHeight="1">
      <c r="B26" s="4" t="inlineStr">
        <is>
          <t>An earlier version of this workbook said both were empty. That was wrong. Six questions mention something "accessible" and three of them are about accessibility; the other three are the FAIR principles’ Accessible and data reaching other departments, which is a different sense of the word.</t>
        </is>
      </c>
    </row>
    <row r="27" ht="8" customHeight="1"/>
    <row r="28" ht="22.4" customHeight="1">
      <c r="B28" s="3" t="inlineStr">
        <is>
          <t>The Answer type column</t>
        </is>
      </c>
    </row>
    <row r="29" ht="60" customHeight="1">
      <c r="B29" s="4" t="inlineStr">
        <is>
          <t>Ten of the 176 questions read as yes or no rather than as a maturity, which you named yourself. The Answer type column says which we think each one is, and the Answer column beside it offers the matching picker: 0 to 10 for a scale question, Yes and No for the others, and N/A on both. Our reading is provisional; change the type and the picker follows.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2"/>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6" customWidth="1" min="2" max="2"/>
    <col width="58" customWidth="1" min="3" max="3"/>
    <col width="30" customWidth="1" min="4" max="4"/>
    <col width="13" customWidth="1" min="5" max="5"/>
    <col width="11" customWidth="1" min="6" max="6"/>
    <col width="15" customWidth="1" min="7" max="7"/>
    <col width="30" customWidth="1" min="8" max="8"/>
  </cols>
  <sheetData>
    <row r="1" ht="30" customHeight="1">
      <c r="A1" s="6" t="inlineStr">
        <is>
          <t>Business Architecture  ·  Connecting strategy to execution through structured design</t>
        </is>
      </c>
    </row>
    <row r="2">
      <c r="A2" s="7" t="inlineStr">
        <is>
          <t xml:space="preserve">   Overall weight in GC EA score: 25%</t>
        </is>
      </c>
    </row>
    <row r="3" ht="30" customHeight="1">
      <c r="A3" s="8" t="inlineStr">
        <is>
          <t>#</t>
        </is>
      </c>
      <c r="B3" s="8" t="inlineStr">
        <is>
          <t>Q#</t>
        </is>
      </c>
      <c r="C3" s="8" t="inlineStr">
        <is>
          <t>Assessment Question</t>
        </is>
      </c>
      <c r="D3" s="9" t="inlineStr">
        <is>
          <t>Categories</t>
        </is>
      </c>
      <c r="E3" s="9" t="inlineStr">
        <is>
          <t>Answer type</t>
        </is>
      </c>
      <c r="F3" s="9" t="inlineStr">
        <is>
          <t>Answer</t>
        </is>
      </c>
      <c r="G3" s="9" t="inlineStr">
        <is>
          <t>Maturity Label</t>
        </is>
      </c>
      <c r="H3" s="9" t="inlineStr">
        <is>
          <t>Notes / Evidence</t>
        </is>
      </c>
    </row>
    <row r="4" ht="24" customHeight="1">
      <c r="A4" s="10" t="inlineStr">
        <is>
          <t>Defining the Current State — Section weight: 5%</t>
        </is>
      </c>
      <c r="B4" s="11" t="n"/>
      <c r="C4" s="11" t="n"/>
      <c r="D4" s="11" t="n"/>
      <c r="E4" s="11" t="n"/>
      <c r="F4" s="12">
        <f>IFERROR(ROUND(AVERAGE(F5:F18),1),"")</f>
        <v/>
      </c>
      <c r="G4" s="13" t="n">
        <v>0.05</v>
      </c>
      <c r="H4" s="11" t="n"/>
    </row>
    <row r="5">
      <c r="A5" s="14" t="inlineStr">
        <is>
          <t>S1</t>
        </is>
      </c>
      <c r="B5" s="14" t="inlineStr">
        <is>
          <t>Q1</t>
        </is>
      </c>
      <c r="C5" s="15" t="inlineStr">
        <is>
          <t>How thoroughly has the current state of this solution been documented, including all processes, data flows, and system dependencies?</t>
        </is>
      </c>
      <c r="D5" s="16" t="n"/>
      <c r="E5" s="17" t="inlineStr">
        <is>
          <t>Scale 0-10</t>
        </is>
      </c>
      <c r="F5" s="18" t="n"/>
      <c r="G5" s="19">
        <f>IF(OR(F5="",NOT(ISNUMBER(F5))),"",IFERROR(VLOOKUP(F5,'Assessment Scale'!$A$3:$C$13,3,FALSE),""))</f>
        <v/>
      </c>
      <c r="H5" s="18" t="n"/>
    </row>
    <row r="6">
      <c r="A6" s="14" t="inlineStr"/>
      <c r="B6" s="14" t="inlineStr">
        <is>
          <t>Q2</t>
        </is>
      </c>
      <c r="C6" s="15" t="inlineStr">
        <is>
          <t>What entities (data objects, records, clients, files) are currently produced, managed, or maintained by this solution?</t>
        </is>
      </c>
      <c r="D6" s="16" t="n"/>
      <c r="E6" s="17" t="inlineStr">
        <is>
          <t>Scale 0-10</t>
        </is>
      </c>
      <c r="F6" s="18" t="n"/>
      <c r="G6" s="19">
        <f>IF(OR(F6="",NOT(ISNUMBER(F6))),"",IFERROR(VLOOKUP(F6,'Assessment Scale'!$A$3:$C$13,3,FALSE),""))</f>
        <v/>
      </c>
      <c r="H6" s="18" t="n"/>
    </row>
    <row r="7">
      <c r="A7" s="14" t="inlineStr"/>
      <c r="B7" s="14" t="inlineStr">
        <is>
          <t>Q3</t>
        </is>
      </c>
      <c r="C7" s="15" t="inlineStr">
        <is>
          <t>Have all roles and responsibilities across stakeholders, operators, and service consumers been identified, documented, and formally accepted?</t>
        </is>
      </c>
      <c r="D7" s="16" t="n"/>
      <c r="E7" s="17" t="inlineStr">
        <is>
          <t>Scale 0-10</t>
        </is>
      </c>
      <c r="F7" s="18" t="n"/>
      <c r="G7" s="19">
        <f>IF(OR(F7="",NOT(ISNUMBER(F7))),"",IFERROR(VLOOKUP(F7,'Assessment Scale'!$A$3:$C$13,3,FALSE),""))</f>
        <v/>
      </c>
      <c r="H7" s="18" t="n"/>
    </row>
    <row r="8">
      <c r="A8" s="14" t="inlineStr"/>
      <c r="B8" s="14" t="inlineStr">
        <is>
          <t>Q4</t>
        </is>
      </c>
      <c r="C8" s="15" t="inlineStr">
        <is>
          <t>How well understood is the criticality of this solution to Government of Canada program delivery and citizen outcomes?</t>
        </is>
      </c>
      <c r="D8" s="16" t="n"/>
      <c r="E8" s="17" t="inlineStr">
        <is>
          <t>Scale 0-10</t>
        </is>
      </c>
      <c r="F8" s="18" t="n"/>
      <c r="G8" s="19">
        <f>IF(OR(F8="",NOT(ISNUMBER(F8))),"",IFERROR(VLOOKUP(F8,'Assessment Scale'!$A$3:$C$13,3,FALSE),""))</f>
        <v/>
      </c>
      <c r="H8" s="18" t="n"/>
    </row>
    <row r="9">
      <c r="A9" s="14" t="inlineStr"/>
      <c r="B9" s="14" t="inlineStr">
        <is>
          <t>Q5</t>
        </is>
      </c>
      <c r="C9" s="15" t="inlineStr">
        <is>
          <t>Are all sub-components of the current solution assessed for their individual criticality, availability, and risk exposure?</t>
        </is>
      </c>
      <c r="D9" s="16" t="n"/>
      <c r="E9" s="17" t="inlineStr">
        <is>
          <t>Scale 0-10</t>
        </is>
      </c>
      <c r="F9" s="18" t="n"/>
      <c r="G9" s="19">
        <f>IF(OR(F9="",NOT(ISNUMBER(F9))),"",IFERROR(VLOOKUP(F9,'Assessment Scale'!$A$3:$C$13,3,FALSE),""))</f>
        <v/>
      </c>
      <c r="H9" s="18" t="n"/>
    </row>
    <row r="10">
      <c r="A10" s="14" t="inlineStr"/>
      <c r="B10" s="14" t="inlineStr">
        <is>
          <t>Q6</t>
        </is>
      </c>
      <c r="C10" s="15" t="inlineStr">
        <is>
          <t>What is the current level of utilization and demand for the solution (transaction volumes, active users, peak load)?</t>
        </is>
      </c>
      <c r="D10" s="16" t="n"/>
      <c r="E10" s="17" t="inlineStr">
        <is>
          <t>Scale 0-10</t>
        </is>
      </c>
      <c r="F10" s="18" t="n"/>
      <c r="G10" s="19">
        <f>IF(OR(F10="",NOT(ISNUMBER(F10))),"",IFERROR(VLOOKUP(F10,'Assessment Scale'!$A$3:$C$13,3,FALSE),""))</f>
        <v/>
      </c>
      <c r="H10" s="18" t="n"/>
    </row>
    <row r="11">
      <c r="A11" s="14" t="inlineStr"/>
      <c r="B11" s="14" t="inlineStr">
        <is>
          <t>Q7</t>
        </is>
      </c>
      <c r="C11" s="15" t="inlineStr">
        <is>
          <t>What is the known availability, uptime, and service continuity record of the current solution?</t>
        </is>
      </c>
      <c r="D11" s="16" t="n"/>
      <c r="E11" s="17" t="inlineStr">
        <is>
          <t>Scale 0-10</t>
        </is>
      </c>
      <c r="F11" s="18" t="n"/>
      <c r="G11" s="19">
        <f>IF(OR(F11="",NOT(ISNUMBER(F11))),"",IFERROR(VLOOKUP(F11,'Assessment Scale'!$A$3:$C$13,3,FALSE),""))</f>
        <v/>
      </c>
      <c r="H11" s="18" t="n"/>
    </row>
    <row r="12">
      <c r="A12" s="14" t="inlineStr"/>
      <c r="B12" s="14" t="inlineStr">
        <is>
          <t>Q8</t>
        </is>
      </c>
      <c r="C12" s="15" t="inlineStr">
        <is>
          <t>How well understood are the total lifecycle costs — including build, operate, maintain, and decommission — of the current solution?</t>
        </is>
      </c>
      <c r="D12" s="20" t="inlineStr">
        <is>
          <t>Financial</t>
        </is>
      </c>
      <c r="E12" s="17" t="inlineStr">
        <is>
          <t>Scale 0-10</t>
        </is>
      </c>
      <c r="F12" s="18" t="n"/>
      <c r="G12" s="19">
        <f>IF(OR(F12="",NOT(ISNUMBER(F12))),"",IFERROR(VLOOKUP(F12,'Assessment Scale'!$A$3:$C$13,3,FALSE),""))</f>
        <v/>
      </c>
      <c r="H12" s="18" t="n"/>
    </row>
    <row r="13">
      <c r="A13" s="14" t="inlineStr"/>
      <c r="B13" s="14" t="inlineStr">
        <is>
          <t>Q9</t>
        </is>
      </c>
      <c r="C13" s="15" t="inlineStr">
        <is>
          <t>What are the current unit economics (cost per transaction, cost per entity managed) and how are they tracked?</t>
        </is>
      </c>
      <c r="D13" s="20" t="inlineStr">
        <is>
          <t>Financial</t>
        </is>
      </c>
      <c r="E13" s="17" t="inlineStr">
        <is>
          <t>Scale 0-10</t>
        </is>
      </c>
      <c r="F13" s="18" t="n"/>
      <c r="G13" s="19">
        <f>IF(OR(F13="",NOT(ISNUMBER(F13))),"",IFERROR(VLOOKUP(F13,'Assessment Scale'!$A$3:$C$13,3,FALSE),""))</f>
        <v/>
      </c>
      <c r="H13" s="18" t="n"/>
    </row>
    <row r="14">
      <c r="A14" s="14" t="inlineStr"/>
      <c r="B14" s="14" t="inlineStr">
        <is>
          <t>Q10</t>
        </is>
      </c>
      <c r="C14" s="15" t="inlineStr">
        <is>
          <t>How mature and current are the performance indicators for this solution, and what trends do they reflect?</t>
        </is>
      </c>
      <c r="D14" s="16" t="n"/>
      <c r="E14" s="17" t="inlineStr">
        <is>
          <t>Scale 0-10</t>
        </is>
      </c>
      <c r="F14" s="18" t="n"/>
      <c r="G14" s="19">
        <f>IF(OR(F14="",NOT(ISNUMBER(F14))),"",IFERROR(VLOOKUP(F14,'Assessment Scale'!$A$3:$C$13,3,FALSE),""))</f>
        <v/>
      </c>
      <c r="H14" s="18" t="n"/>
    </row>
    <row r="15">
      <c r="A15" s="14" t="inlineStr"/>
      <c r="B15" s="14" t="inlineStr">
        <is>
          <t>Q11</t>
        </is>
      </c>
      <c r="C15" s="15" t="inlineStr">
        <is>
          <t>Is the lifespan and full lifecycle of the solution mapped out, and is the current position within that lifecycle known?</t>
        </is>
      </c>
      <c r="D15" s="16" t="n"/>
      <c r="E15" s="17" t="inlineStr">
        <is>
          <t>Scale 0-10</t>
        </is>
      </c>
      <c r="F15" s="18" t="n"/>
      <c r="G15" s="19">
        <f>IF(OR(F15="",NOT(ISNUMBER(F15))),"",IFERROR(VLOOKUP(F15,'Assessment Scale'!$A$3:$C$13,3,FALSE),""))</f>
        <v/>
      </c>
      <c r="H15" s="18" t="n"/>
    </row>
    <row r="16">
      <c r="A16" s="14" t="inlineStr"/>
      <c r="B16" s="14" t="inlineStr">
        <is>
          <t>Q12</t>
        </is>
      </c>
      <c r="C16" s="15" t="inlineStr">
        <is>
          <t>What major events (technology refresh, contract renewal, legislative changes) are on the horizon for this solution?</t>
        </is>
      </c>
      <c r="D16" s="16" t="n"/>
      <c r="E16" s="17" t="inlineStr">
        <is>
          <t>Scale 0-10</t>
        </is>
      </c>
      <c r="F16" s="18" t="n"/>
      <c r="G16" s="19">
        <f>IF(OR(F16="",NOT(ISNUMBER(F16))),"",IFERROR(VLOOKUP(F16,'Assessment Scale'!$A$3:$C$13,3,FALSE),""))</f>
        <v/>
      </c>
      <c r="H16" s="18" t="n"/>
    </row>
    <row r="17">
      <c r="A17" s="14" t="inlineStr"/>
      <c r="B17" s="14" t="inlineStr">
        <is>
          <t>Q13</t>
        </is>
      </c>
      <c r="C17" s="15" t="inlineStr">
        <is>
          <t>How well understood are the specific skills, staffing levels, and capacity requirements to operate and evolve this solution?</t>
        </is>
      </c>
      <c r="D17" s="16" t="n"/>
      <c r="E17" s="17" t="inlineStr">
        <is>
          <t>Scale 0-10</t>
        </is>
      </c>
      <c r="F17" s="18" t="n"/>
      <c r="G17" s="19">
        <f>IF(OR(F17="",NOT(ISNUMBER(F17))),"",IFERROR(VLOOKUP(F17,'Assessment Scale'!$A$3:$C$13,3,FALSE),""))</f>
        <v/>
      </c>
      <c r="H17" s="18" t="n"/>
    </row>
    <row r="18">
      <c r="A18" s="14" t="inlineStr"/>
      <c r="B18" s="14" t="inlineStr">
        <is>
          <t>Q14</t>
        </is>
      </c>
      <c r="C18" s="15" t="inlineStr">
        <is>
          <t>How are universal requirements — accessibility, official languages, inclusion, and privacy — currently addressed in the solution?</t>
        </is>
      </c>
      <c r="D18" s="20" t="inlineStr">
        <is>
          <t>Privacy, Accessibility, Official Languages</t>
        </is>
      </c>
      <c r="E18" s="17" t="inlineStr">
        <is>
          <t>Scale 0-10</t>
        </is>
      </c>
      <c r="F18" s="18" t="n"/>
      <c r="G18" s="19">
        <f>IF(OR(F18="",NOT(ISNUMBER(F18))),"",IFERROR(VLOOKUP(F18,'Assessment Scale'!$A$3:$C$13,3,FALSE),""))</f>
        <v/>
      </c>
      <c r="H18" s="18" t="n"/>
    </row>
    <row r="19" ht="24" customHeight="1">
      <c r="A19" s="10" t="inlineStr">
        <is>
          <t>Defining the Business Solution — Section weight: 25%</t>
        </is>
      </c>
      <c r="B19" s="11" t="n"/>
      <c r="C19" s="11" t="n"/>
      <c r="D19" s="11" t="n"/>
      <c r="E19" s="11" t="n"/>
      <c r="F19" s="12">
        <f>IFERROR(ROUND(AVERAGE(F20:F32),1),"")</f>
        <v/>
      </c>
      <c r="G19" s="13" t="n">
        <v>0.25</v>
      </c>
      <c r="H19" s="11" t="n"/>
    </row>
    <row r="20">
      <c r="A20" s="14" t="inlineStr">
        <is>
          <t>S2</t>
        </is>
      </c>
      <c r="B20" s="14" t="inlineStr">
        <is>
          <t>Q15</t>
        </is>
      </c>
      <c r="C20" s="15" t="inlineStr">
        <is>
          <t>How clearly and completely has the core business problem been defined and agreed upon by all stakeholders?</t>
        </is>
      </c>
      <c r="D20" s="16" t="n"/>
      <c r="E20" s="17" t="inlineStr">
        <is>
          <t>Scale 0-10</t>
        </is>
      </c>
      <c r="F20" s="18" t="n"/>
      <c r="G20" s="19">
        <f>IF(OR(F20="",NOT(ISNUMBER(F20))),"",IFERROR(VLOOKUP(F20,'Assessment Scale'!$A$3:$C$13,3,FALSE),""))</f>
        <v/>
      </c>
      <c r="H20" s="18" t="n"/>
    </row>
    <row r="21">
      <c r="A21" s="14" t="inlineStr"/>
      <c r="B21" s="14" t="inlineStr">
        <is>
          <t>Q16</t>
        </is>
      </c>
      <c r="C21" s="15" t="inlineStr">
        <is>
          <t>Is there a documented business case that articulates the expected value, outcomes, and measurable benefits of the proposed solution?</t>
        </is>
      </c>
      <c r="D21" s="20" t="inlineStr">
        <is>
          <t>Financial</t>
        </is>
      </c>
      <c r="E21" s="17" t="inlineStr">
        <is>
          <t>Scale 0-10</t>
        </is>
      </c>
      <c r="F21" s="18" t="n"/>
      <c r="G21" s="19">
        <f>IF(OR(F21="",NOT(ISNUMBER(F21))),"",IFERROR(VLOOKUP(F21,'Assessment Scale'!$A$3:$C$13,3,FALSE),""))</f>
        <v/>
      </c>
      <c r="H21" s="18" t="n"/>
    </row>
    <row r="22">
      <c r="A22" s="14" t="inlineStr"/>
      <c r="B22" s="14" t="inlineStr">
        <is>
          <t>Q17</t>
        </is>
      </c>
      <c r="C22" s="15" t="inlineStr">
        <is>
          <t>How well do the proposed solution capabilities map to the GC Business Capability Model and existing enterprise services?</t>
        </is>
      </c>
      <c r="D22" s="16" t="n"/>
      <c r="E22" s="17" t="inlineStr">
        <is>
          <t>Scale 0-10</t>
        </is>
      </c>
      <c r="F22" s="18" t="n"/>
      <c r="G22" s="19">
        <f>IF(OR(F22="",NOT(ISNUMBER(F22))),"",IFERROR(VLOOKUP(F22,'Assessment Scale'!$A$3:$C$13,3,FALSE),""))</f>
        <v/>
      </c>
      <c r="H22" s="18" t="n"/>
    </row>
    <row r="23">
      <c r="A23" s="14" t="inlineStr"/>
      <c r="B23" s="14" t="inlineStr">
        <is>
          <t>Q18</t>
        </is>
      </c>
      <c r="C23" s="15" t="inlineStr">
        <is>
          <t>Have value streams been fully mapped, showing how business capabilities deliver outcomes to clients and citizens?</t>
        </is>
      </c>
      <c r="D23" s="16" t="n"/>
      <c r="E23" s="17" t="inlineStr">
        <is>
          <t>Scale 0-10</t>
        </is>
      </c>
      <c r="F23" s="18" t="n"/>
      <c r="G23" s="19">
        <f>IF(OR(F23="",NOT(ISNUMBER(F23))),"",IFERROR(VLOOKUP(F23,'Assessment Scale'!$A$3:$C$13,3,FALSE),""))</f>
        <v/>
      </c>
      <c r="H23" s="18" t="n"/>
    </row>
    <row r="24">
      <c r="A24" s="14" t="inlineStr"/>
      <c r="B24" s="14" t="inlineStr">
        <is>
          <t>Q19</t>
        </is>
      </c>
      <c r="C24" s="15" t="inlineStr">
        <is>
          <t>Is the solution design driven by defined user personas, journeys, and evidence-based user research?</t>
        </is>
      </c>
      <c r="D24" s="16" t="n"/>
      <c r="E24" s="17" t="inlineStr">
        <is>
          <t>Scale 0-10</t>
        </is>
      </c>
      <c r="F24" s="18" t="n"/>
      <c r="G24" s="19">
        <f>IF(OR(F24="",NOT(ISNUMBER(F24))),"",IFERROR(VLOOKUP(F24,'Assessment Scale'!$A$3:$C$13,3,FALSE),""))</f>
        <v/>
      </c>
      <c r="H24" s="18" t="n"/>
    </row>
    <row r="25">
      <c r="A25" s="14" t="inlineStr"/>
      <c r="B25" s="14" t="inlineStr">
        <is>
          <t>Q20</t>
        </is>
      </c>
      <c r="C25" s="15" t="inlineStr">
        <is>
          <t>How clearly are the target service levels, response times, and quality benchmarks defined for the proposed solution?</t>
        </is>
      </c>
      <c r="D25" s="16" t="n"/>
      <c r="E25" s="17" t="inlineStr">
        <is>
          <t>Scale 0-10</t>
        </is>
      </c>
      <c r="F25" s="18" t="n"/>
      <c r="G25" s="19">
        <f>IF(OR(F25="",NOT(ISNUMBER(F25))),"",IFERROR(VLOOKUP(F25,'Assessment Scale'!$A$3:$C$13,3,FALSE),""))</f>
        <v/>
      </c>
      <c r="H25" s="18" t="n"/>
    </row>
    <row r="26">
      <c r="A26" s="14" t="inlineStr"/>
      <c r="B26" s="14" t="inlineStr">
        <is>
          <t>Q21</t>
        </is>
      </c>
      <c r="C26" s="15" t="inlineStr">
        <is>
          <t>Has the solution's criticality to GC program delivery been assessed, and does the architecture reflect that criticality?</t>
        </is>
      </c>
      <c r="D26" s="16" t="n"/>
      <c r="E26" s="17" t="inlineStr">
        <is>
          <t>Scale 0-10</t>
        </is>
      </c>
      <c r="F26" s="18" t="n"/>
      <c r="G26" s="19">
        <f>IF(OR(F26="",NOT(ISNUMBER(F26))),"",IFERROR(VLOOKUP(F26,'Assessment Scale'!$A$3:$C$13,3,FALSE),""))</f>
        <v/>
      </c>
      <c r="H26" s="18" t="n"/>
    </row>
    <row r="27">
      <c r="A27" s="14" t="inlineStr"/>
      <c r="B27" s="14" t="inlineStr">
        <is>
          <t>Q22</t>
        </is>
      </c>
      <c r="C27" s="15" t="inlineStr">
        <is>
          <t>Is there a funding model and sourcing strategy that is sustainable across the full lifecycle of the solution?</t>
        </is>
      </c>
      <c r="D27" s="20" t="inlineStr">
        <is>
          <t>Financial</t>
        </is>
      </c>
      <c r="E27" s="17" t="inlineStr">
        <is>
          <t>Scale 0-10</t>
        </is>
      </c>
      <c r="F27" s="18" t="n"/>
      <c r="G27" s="19">
        <f>IF(OR(F27="",NOT(ISNUMBER(F27))),"",IFERROR(VLOOKUP(F27,'Assessment Scale'!$A$3:$C$13,3,FALSE),""))</f>
        <v/>
      </c>
      <c r="H27" s="18" t="n"/>
    </row>
    <row r="28">
      <c r="A28" s="14" t="inlineStr"/>
      <c r="B28" s="14" t="inlineStr">
        <is>
          <t>Q23</t>
        </is>
      </c>
      <c r="C28" s="15" t="inlineStr">
        <is>
          <t>How well is the talent strategy defined, including required skills, existing capacity, training pipeline, and long-term retention?</t>
        </is>
      </c>
      <c r="D28" s="16" t="n"/>
      <c r="E28" s="17" t="inlineStr">
        <is>
          <t>Scale 0-10</t>
        </is>
      </c>
      <c r="F28" s="18" t="n"/>
      <c r="G28" s="19">
        <f>IF(OR(F28="",NOT(ISNUMBER(F28))),"",IFERROR(VLOOKUP(F28,'Assessment Scale'!$A$3:$C$13,3,FALSE),""))</f>
        <v/>
      </c>
      <c r="H28" s="18" t="n"/>
    </row>
    <row r="29">
      <c r="A29" s="14" t="inlineStr"/>
      <c r="B29" s="14" t="inlineStr">
        <is>
          <t>Q24</t>
        </is>
      </c>
      <c r="C29" s="15" t="inlineStr">
        <is>
          <t>Is a demand forecast available, and does the solution design account for projected growth and usage variability?</t>
        </is>
      </c>
      <c r="D29" s="16" t="n"/>
      <c r="E29" s="17" t="inlineStr">
        <is>
          <t>Scale 0-10</t>
        </is>
      </c>
      <c r="F29" s="18" t="n"/>
      <c r="G29" s="19">
        <f>IF(OR(F29="",NOT(ISNUMBER(F29))),"",IFERROR(VLOOKUP(F29,'Assessment Scale'!$A$3:$C$13,3,FALSE),""))</f>
        <v/>
      </c>
      <c r="H29" s="18" t="n"/>
    </row>
    <row r="30">
      <c r="A30" s="14" t="inlineStr"/>
      <c r="B30" s="14" t="inlineStr">
        <is>
          <t>Q25</t>
        </is>
      </c>
      <c r="C30" s="15" t="inlineStr">
        <is>
          <t>How well is the solution integrated within the broader GC enterprise ecosystem and aligned with whole-of-government priorities?</t>
        </is>
      </c>
      <c r="D30" s="16" t="n"/>
      <c r="E30" s="17" t="inlineStr">
        <is>
          <t>Scale 0-10</t>
        </is>
      </c>
      <c r="F30" s="18" t="n"/>
      <c r="G30" s="19">
        <f>IF(OR(F30="",NOT(ISNUMBER(F30))),"",IFERROR(VLOOKUP(F30,'Assessment Scale'!$A$3:$C$13,3,FALSE),""))</f>
        <v/>
      </c>
      <c r="H30" s="18" t="n"/>
    </row>
    <row r="31">
      <c r="A31" s="14" t="inlineStr"/>
      <c r="B31" s="14" t="inlineStr">
        <is>
          <t>Q26</t>
        </is>
      </c>
      <c r="C31" s="15" t="inlineStr">
        <is>
          <t>Is the solution designed to maximize reuse of existing GC shared services and platforms before building new capabilities?</t>
        </is>
      </c>
      <c r="D31" s="16" t="n"/>
      <c r="E31" s="17" t="inlineStr">
        <is>
          <t>Scale 0-10</t>
        </is>
      </c>
      <c r="F31" s="18" t="n"/>
      <c r="G31" s="19">
        <f>IF(OR(F31="",NOT(ISNUMBER(F31))),"",IFERROR(VLOOKUP(F31,'Assessment Scale'!$A$3:$C$13,3,FALSE),""))</f>
        <v/>
      </c>
      <c r="H31" s="18" t="n"/>
    </row>
    <row r="32">
      <c r="A32" s="14" t="inlineStr"/>
      <c r="B32" s="14" t="inlineStr">
        <is>
          <t>Q27</t>
        </is>
      </c>
      <c r="C32" s="15" t="inlineStr">
        <is>
          <t>How transparent is the solution design — is it documented, accessible, and understandable to those who rely on it?</t>
        </is>
      </c>
      <c r="D32" s="16" t="n"/>
      <c r="E32" s="17" t="inlineStr">
        <is>
          <t>Scale 0-10</t>
        </is>
      </c>
      <c r="F32" s="18" t="n"/>
      <c r="G32" s="19">
        <f>IF(OR(F32="",NOT(ISNUMBER(F32))),"",IFERROR(VLOOKUP(F32,'Assessment Scale'!$A$3:$C$13,3,FALSE),""))</f>
        <v/>
      </c>
      <c r="H32" s="18" t="n"/>
    </row>
    <row r="33" ht="24" customHeight="1">
      <c r="A33" s="10" t="inlineStr">
        <is>
          <t>Demonstrated Engagement — Section weight: 10%</t>
        </is>
      </c>
      <c r="B33" s="11" t="n"/>
      <c r="C33" s="11" t="n"/>
      <c r="D33" s="11" t="n"/>
      <c r="E33" s="11" t="n"/>
      <c r="F33" s="12">
        <f>IFERROR(ROUND(AVERAGE(F34:F42),1),"")</f>
        <v/>
      </c>
      <c r="G33" s="13" t="n">
        <v>0.1</v>
      </c>
      <c r="H33" s="11" t="n"/>
    </row>
    <row r="34">
      <c r="A34" s="14" t="inlineStr">
        <is>
          <t>S3</t>
        </is>
      </c>
      <c r="B34" s="14" t="inlineStr">
        <is>
          <t>Q28</t>
        </is>
      </c>
      <c r="C34" s="15" t="inlineStr">
        <is>
          <t>Have user personas, stories, and journeys been mapped and validated through direct engagement with actual users and stakeholders?</t>
        </is>
      </c>
      <c r="D34" s="16" t="n"/>
      <c r="E34" s="17" t="inlineStr">
        <is>
          <t>Scale 0-10</t>
        </is>
      </c>
      <c r="F34" s="18" t="n"/>
      <c r="G34" s="19">
        <f>IF(OR(F34="",NOT(ISNUMBER(F34))),"",IFERROR(VLOOKUP(F34,'Assessment Scale'!$A$3:$C$13,3,FALSE),""))</f>
        <v/>
      </c>
      <c r="H34" s="18" t="n"/>
    </row>
    <row r="35">
      <c r="A35" s="14" t="inlineStr"/>
      <c r="B35" s="14" t="inlineStr">
        <is>
          <t>Q29</t>
        </is>
      </c>
      <c r="C35" s="15" t="inlineStr">
        <is>
          <t>Are there formal, repeatable mechanisms to capture client, user, and stakeholder needs on a continuous basis?</t>
        </is>
      </c>
      <c r="D35" s="16" t="n"/>
      <c r="E35" s="17" t="inlineStr">
        <is>
          <t>Scale 0-10</t>
        </is>
      </c>
      <c r="F35" s="18" t="n"/>
      <c r="G35" s="19">
        <f>IF(OR(F35="",NOT(ISNUMBER(F35))),"",IFERROR(VLOOKUP(F35,'Assessment Scale'!$A$3:$C$13,3,FALSE),""))</f>
        <v/>
      </c>
      <c r="H35" s="18" t="n"/>
    </row>
    <row r="36">
      <c r="A36" s="14" t="inlineStr"/>
      <c r="B36" s="14" t="inlineStr">
        <is>
          <t>Q30</t>
        </is>
      </c>
      <c r="C36" s="15" t="inlineStr">
        <is>
          <t>How mature are feedback loops between the delivery team and end users, including Communities of Practice and regular reviews?</t>
        </is>
      </c>
      <c r="D36" s="16" t="n"/>
      <c r="E36" s="17" t="inlineStr">
        <is>
          <t>Scale 0-10</t>
        </is>
      </c>
      <c r="F36" s="18" t="n"/>
      <c r="G36" s="19">
        <f>IF(OR(F36="",NOT(ISNUMBER(F36))),"",IFERROR(VLOOKUP(F36,'Assessment Scale'!$A$3:$C$13,3,FALSE),""))</f>
        <v/>
      </c>
      <c r="H36" s="18" t="n"/>
    </row>
    <row r="37">
      <c r="A37" s="14" t="inlineStr"/>
      <c r="B37" s="14" t="inlineStr">
        <is>
          <t>Q31</t>
        </is>
      </c>
      <c r="C37" s="15" t="inlineStr">
        <is>
          <t>Are all roles, accountabilities, and decision rights across the solution ecosystem clearly documented in a RACI or equivalent model?</t>
        </is>
      </c>
      <c r="D37" s="16" t="n"/>
      <c r="E37" s="17" t="inlineStr">
        <is>
          <t>Scale 0-10</t>
        </is>
      </c>
      <c r="F37" s="18" t="n"/>
      <c r="G37" s="19">
        <f>IF(OR(F37="",NOT(ISNUMBER(F37))),"",IFERROR(VLOOKUP(F37,'Assessment Scale'!$A$3:$C$13,3,FALSE),""))</f>
        <v/>
      </c>
      <c r="H37" s="18" t="n"/>
    </row>
    <row r="38">
      <c r="A38" s="14" t="inlineStr"/>
      <c r="B38" s="14" t="inlineStr">
        <is>
          <t>Q32</t>
        </is>
      </c>
      <c r="C38" s="15" t="inlineStr">
        <is>
          <t>Is solution documentation, interactive guidance, and self-service assistance available and actively maintained for all user types?</t>
        </is>
      </c>
      <c r="D38" s="16" t="n"/>
      <c r="E38" s="17" t="inlineStr">
        <is>
          <t>Scale 0-10</t>
        </is>
      </c>
      <c r="F38" s="18" t="n"/>
      <c r="G38" s="19">
        <f>IF(OR(F38="",NOT(ISNUMBER(F38))),"",IFERROR(VLOOKUP(F38,'Assessment Scale'!$A$3:$C$13,3,FALSE),""))</f>
        <v/>
      </c>
      <c r="H38" s="18" t="n"/>
    </row>
    <row r="39">
      <c r="A39" s="14" t="inlineStr"/>
      <c r="B39" s="14" t="inlineStr">
        <is>
          <t>Q33</t>
        </is>
      </c>
      <c r="C39" s="15" t="inlineStr">
        <is>
          <t>How transparent is the operational status of the solution, including an offering roadmap and historical event schedule?</t>
        </is>
      </c>
      <c r="D39" s="16" t="n"/>
      <c r="E39" s="17" t="inlineStr">
        <is>
          <t>Scale 0-10</t>
        </is>
      </c>
      <c r="F39" s="18" t="n"/>
      <c r="G39" s="19">
        <f>IF(OR(F39="",NOT(ISNUMBER(F39))),"",IFERROR(VLOOKUP(F39,'Assessment Scale'!$A$3:$C$13,3,FALSE),""))</f>
        <v/>
      </c>
      <c r="H39" s="18" t="n"/>
    </row>
    <row r="40">
      <c r="A40" s="14" t="inlineStr"/>
      <c r="B40" s="14" t="inlineStr">
        <is>
          <t>Q34</t>
        </is>
      </c>
      <c r="C40" s="15" t="inlineStr">
        <is>
          <t>Are performance metrics (NPS, CSAT, CES, usage rates, drop-off rates) defined, measured, and reported back to stakeholders?</t>
        </is>
      </c>
      <c r="D40" s="16" t="n"/>
      <c r="E40" s="17" t="inlineStr">
        <is>
          <t>Scale 0-10</t>
        </is>
      </c>
      <c r="F40" s="18" t="n"/>
      <c r="G40" s="19">
        <f>IF(OR(F40="",NOT(ISNUMBER(F40))),"",IFERROR(VLOOKUP(F40,'Assessment Scale'!$A$3:$C$13,3,FALSE),""))</f>
        <v/>
      </c>
      <c r="H40" s="18" t="n"/>
    </row>
    <row r="41">
      <c r="A41" s="14" t="inlineStr"/>
      <c r="B41" s="14" t="inlineStr">
        <is>
          <t>Q35</t>
        </is>
      </c>
      <c r="C41" s="15" t="inlineStr">
        <is>
          <t>Does the solution support multi-channel delivery patterns (web, chat, phone, in-person) that reflect real user demand?</t>
        </is>
      </c>
      <c r="D41" s="16" t="n"/>
      <c r="E41" s="17" t="inlineStr">
        <is>
          <t>Scale 0-10</t>
        </is>
      </c>
      <c r="F41" s="18" t="n"/>
      <c r="G41" s="19">
        <f>IF(OR(F41="",NOT(ISNUMBER(F41))),"",IFERROR(VLOOKUP(F41,'Assessment Scale'!$A$3:$C$13,3,FALSE),""))</f>
        <v/>
      </c>
      <c r="H41" s="18" t="n"/>
    </row>
    <row r="42">
      <c r="A42" s="14" t="inlineStr"/>
      <c r="B42" s="14" t="inlineStr">
        <is>
          <t>Q36</t>
        </is>
      </c>
      <c r="C42" s="15" t="inlineStr">
        <is>
          <t>How mature are personalization, predictive analytics, or AI-assisted capabilities within the solution offering?</t>
        </is>
      </c>
      <c r="D42" s="16" t="n"/>
      <c r="E42" s="17" t="inlineStr">
        <is>
          <t>Scale 0-10</t>
        </is>
      </c>
      <c r="F42" s="18" t="n"/>
      <c r="G42" s="19">
        <f>IF(OR(F42="",NOT(ISNUMBER(F42))),"",IFERROR(VLOOKUP(F42,'Assessment Scale'!$A$3:$C$13,3,FALSE),""))</f>
        <v/>
      </c>
      <c r="H42" s="18" t="n"/>
    </row>
    <row r="43" ht="24" customHeight="1">
      <c r="A43" s="10" t="inlineStr">
        <is>
          <t>Calculated, Measured &amp; Transparent Performance &amp; Value — Section weight: 10%</t>
        </is>
      </c>
      <c r="B43" s="11" t="n"/>
      <c r="C43" s="11" t="n"/>
      <c r="D43" s="11" t="n"/>
      <c r="E43" s="11" t="n"/>
      <c r="F43" s="12">
        <f>IFERROR(ROUND(AVERAGE(F44:F51),1),"")</f>
        <v/>
      </c>
      <c r="G43" s="13" t="n">
        <v>0.1</v>
      </c>
      <c r="H43" s="11" t="n"/>
    </row>
    <row r="44">
      <c r="A44" s="14" t="inlineStr">
        <is>
          <t>S4</t>
        </is>
      </c>
      <c r="B44" s="14" t="inlineStr">
        <is>
          <t>Q37</t>
        </is>
      </c>
      <c r="C44" s="15" t="inlineStr">
        <is>
          <t>Are Service Level Objectives (SLOs) and Service Level Agreements (SLAs) formally defined, monitored, and reported?</t>
        </is>
      </c>
      <c r="D44" s="16" t="n"/>
      <c r="E44" s="17" t="inlineStr">
        <is>
          <t>Scale 0-10</t>
        </is>
      </c>
      <c r="F44" s="18" t="n"/>
      <c r="G44" s="19">
        <f>IF(OR(F44="",NOT(ISNUMBER(F44))),"",IFERROR(VLOOKUP(F44,'Assessment Scale'!$A$3:$C$13,3,FALSE),""))</f>
        <v/>
      </c>
      <c r="H44" s="18" t="n"/>
    </row>
    <row r="45">
      <c r="A45" s="14" t="inlineStr"/>
      <c r="B45" s="14" t="inlineStr">
        <is>
          <t>Q38</t>
        </is>
      </c>
      <c r="C45" s="15" t="inlineStr">
        <is>
          <t>Is there end-to-end instrumentation of delivery processes, enabling real-time performance monitoring and visualization?</t>
        </is>
      </c>
      <c r="D45" s="16" t="n"/>
      <c r="E45" s="17" t="inlineStr">
        <is>
          <t>Scale 0-10</t>
        </is>
      </c>
      <c r="F45" s="18" t="n"/>
      <c r="G45" s="19">
        <f>IF(OR(F45="",NOT(ISNUMBER(F45))),"",IFERROR(VLOOKUP(F45,'Assessment Scale'!$A$3:$C$13,3,FALSE),""))</f>
        <v/>
      </c>
      <c r="H45" s="18" t="n"/>
    </row>
    <row r="46">
      <c r="A46" s="14" t="inlineStr"/>
      <c r="B46" s="14" t="inlineStr">
        <is>
          <t>Q39</t>
        </is>
      </c>
      <c r="C46" s="15" t="inlineStr">
        <is>
          <t>How well are costs, prices, and unit economics tracked and published, enabling informed investment decisions?</t>
        </is>
      </c>
      <c r="D46" s="20" t="inlineStr">
        <is>
          <t>Financial</t>
        </is>
      </c>
      <c r="E46" s="17" t="inlineStr">
        <is>
          <t>Scale 0-10</t>
        </is>
      </c>
      <c r="F46" s="18" t="n"/>
      <c r="G46" s="19">
        <f>IF(OR(F46="",NOT(ISNUMBER(F46))),"",IFERROR(VLOOKUP(F46,'Assessment Scale'!$A$3:$C$13,3,FALSE),""))</f>
        <v/>
      </c>
      <c r="H46" s="18" t="n"/>
    </row>
    <row r="47">
      <c r="A47" s="14" t="inlineStr"/>
      <c r="B47" s="14" t="inlineStr">
        <is>
          <t>Q40</t>
        </is>
      </c>
      <c r="C47" s="15" t="inlineStr">
        <is>
          <t>Are client satisfaction scores (CSAT, NPS, or equivalent) captured systematically and acted upon?</t>
        </is>
      </c>
      <c r="D47" s="16" t="n"/>
      <c r="E47" s="17" t="inlineStr">
        <is>
          <t>Scale 0-10</t>
        </is>
      </c>
      <c r="F47" s="18" t="n"/>
      <c r="G47" s="19">
        <f>IF(OR(F47="",NOT(ISNUMBER(F47))),"",IFERROR(VLOOKUP(F47,'Assessment Scale'!$A$3:$C$13,3,FALSE),""))</f>
        <v/>
      </c>
      <c r="H47" s="18" t="n"/>
    </row>
    <row r="48">
      <c r="A48" s="14" t="inlineStr"/>
      <c r="B48" s="14" t="inlineStr">
        <is>
          <t>Q41</t>
        </is>
      </c>
      <c r="C48" s="15" t="inlineStr">
        <is>
          <t>How are quality and error rates measured, tracked, and used to drive continuous improvement?</t>
        </is>
      </c>
      <c r="D48" s="16" t="n"/>
      <c r="E48" s="17" t="inlineStr">
        <is>
          <t>Scale 0-10</t>
        </is>
      </c>
      <c r="F48" s="18" t="n"/>
      <c r="G48" s="19">
        <f>IF(OR(F48="",NOT(ISNUMBER(F48))),"",IFERROR(VLOOKUP(F48,'Assessment Scale'!$A$3:$C$13,3,FALSE),""))</f>
        <v/>
      </c>
      <c r="H48" s="18" t="n"/>
    </row>
    <row r="49">
      <c r="A49" s="14" t="inlineStr"/>
      <c r="B49" s="14" t="inlineStr">
        <is>
          <t>Q42</t>
        </is>
      </c>
      <c r="C49" s="15" t="inlineStr">
        <is>
          <t>Are response times, total transaction times, and execution time variance measured and within defined thresholds?</t>
        </is>
      </c>
      <c r="D49" s="16" t="n"/>
      <c r="E49" s="17" t="inlineStr">
        <is>
          <t>Scale 0-10</t>
        </is>
      </c>
      <c r="F49" s="18" t="n"/>
      <c r="G49" s="19">
        <f>IF(OR(F49="",NOT(ISNUMBER(F49))),"",IFERROR(VLOOKUP(F49,'Assessment Scale'!$A$3:$C$13,3,FALSE),""))</f>
        <v/>
      </c>
      <c r="H49" s="18" t="n"/>
    </row>
    <row r="50">
      <c r="A50" s="14" t="inlineStr"/>
      <c r="B50" s="14" t="inlineStr">
        <is>
          <t>Q43</t>
        </is>
      </c>
      <c r="C50" s="15" t="inlineStr">
        <is>
          <t>Is trend analysis performed regularly on key metrics to anticipate performance changes and drive proactive action?</t>
        </is>
      </c>
      <c r="D50" s="16" t="n"/>
      <c r="E50" s="17" t="inlineStr">
        <is>
          <t>Scale 0-10</t>
        </is>
      </c>
      <c r="F50" s="18" t="n"/>
      <c r="G50" s="19">
        <f>IF(OR(F50="",NOT(ISNUMBER(F50))),"",IFERROR(VLOOKUP(F50,'Assessment Scale'!$A$3:$C$13,3,FALSE),""))</f>
        <v/>
      </c>
      <c r="H50" s="18" t="n"/>
    </row>
    <row r="51">
      <c r="A51" s="14" t="inlineStr"/>
      <c r="B51" s="14" t="inlineStr">
        <is>
          <t>Q44</t>
        </is>
      </c>
      <c r="C51" s="15" t="inlineStr">
        <is>
          <t>Are periodic evaluations of continuing business need performed to assess whether the solution still justifies its cost?</t>
        </is>
      </c>
      <c r="D51" s="20" t="inlineStr">
        <is>
          <t>Financial</t>
        </is>
      </c>
      <c r="E51" s="17" t="inlineStr">
        <is>
          <t>Scale 0-10</t>
        </is>
      </c>
      <c r="F51" s="18" t="n"/>
      <c r="G51" s="19">
        <f>IF(OR(F51="",NOT(ISNUMBER(F51))),"",IFERROR(VLOOKUP(F51,'Assessment Scale'!$A$3:$C$13,3,FALSE),""))</f>
        <v/>
      </c>
      <c r="H51" s="18" t="n"/>
    </row>
    <row r="52" ht="24" customHeight="1">
      <c r="A52" s="10" t="inlineStr">
        <is>
          <t>Operational Readiness — Section weight: 10%</t>
        </is>
      </c>
      <c r="B52" s="11" t="n"/>
      <c r="C52" s="11" t="n"/>
      <c r="D52" s="11" t="n"/>
      <c r="E52" s="11" t="n"/>
      <c r="F52" s="12">
        <f>IFERROR(ROUND(AVERAGE(F53:F60),1),"")</f>
        <v/>
      </c>
      <c r="G52" s="13" t="n">
        <v>0.1</v>
      </c>
      <c r="H52" s="11" t="n"/>
    </row>
    <row r="53">
      <c r="A53" s="14" t="inlineStr">
        <is>
          <t>S5</t>
        </is>
      </c>
      <c r="B53" s="14" t="inlineStr">
        <is>
          <t>Q45</t>
        </is>
      </c>
      <c r="C53" s="15" t="inlineStr">
        <is>
          <t>How well-defined is the delivery pipeline, including deployment cadence, automation, rollback procedures, and success rates?</t>
        </is>
      </c>
      <c r="D53" s="16" t="n"/>
      <c r="E53" s="17" t="inlineStr">
        <is>
          <t>Scale 0-10</t>
        </is>
      </c>
      <c r="F53" s="18" t="n"/>
      <c r="G53" s="19">
        <f>IF(OR(F53="",NOT(ISNUMBER(F53))),"",IFERROR(VLOOKUP(F53,'Assessment Scale'!$A$3:$C$13,3,FALSE),""))</f>
        <v/>
      </c>
      <c r="H53" s="18" t="n"/>
    </row>
    <row r="54">
      <c r="A54" s="14" t="inlineStr"/>
      <c r="B54" s="14" t="inlineStr">
        <is>
          <t>Q46</t>
        </is>
      </c>
      <c r="C54" s="15" t="inlineStr">
        <is>
          <t>Are skills requirements, staffing levels, and a training and improvement pipeline in place to sustain operations?</t>
        </is>
      </c>
      <c r="D54" s="16" t="n"/>
      <c r="E54" s="17" t="inlineStr">
        <is>
          <t>Scale 0-10</t>
        </is>
      </c>
      <c r="F54" s="18" t="n"/>
      <c r="G54" s="19">
        <f>IF(OR(F54="",NOT(ISNUMBER(F54))),"",IFERROR(VLOOKUP(F54,'Assessment Scale'!$A$3:$C$13,3,FALSE),""))</f>
        <v/>
      </c>
      <c r="H54" s="18" t="n"/>
    </row>
    <row r="55">
      <c r="A55" s="14" t="inlineStr"/>
      <c r="B55" s="14" t="inlineStr">
        <is>
          <t>Q47</t>
        </is>
      </c>
      <c r="C55" s="15" t="inlineStr">
        <is>
          <t>Is there an established and confirmed funding strategy, including lifecycle funding beyond the initial build phase?</t>
        </is>
      </c>
      <c r="D55" s="20" t="inlineStr">
        <is>
          <t>Financial</t>
        </is>
      </c>
      <c r="E55" s="17" t="inlineStr">
        <is>
          <t>Scale 0-10</t>
        </is>
      </c>
      <c r="F55" s="18" t="n"/>
      <c r="G55" s="19">
        <f>IF(OR(F55="",NOT(ISNUMBER(F55))),"",IFERROR(VLOOKUP(F55,'Assessment Scale'!$A$3:$C$13,3,FALSE),""))</f>
        <v/>
      </c>
      <c r="H55" s="18" t="n"/>
    </row>
    <row r="56">
      <c r="A56" s="14" t="inlineStr"/>
      <c r="B56" s="14" t="inlineStr">
        <is>
          <t>Q48</t>
        </is>
      </c>
      <c r="C56" s="15" t="inlineStr">
        <is>
          <t>How mature and tested is the incident management, business continuity, and disaster recovery planning for this solution?</t>
        </is>
      </c>
      <c r="D56" s="16" t="n"/>
      <c r="E56" s="17" t="inlineStr">
        <is>
          <t>Scale 0-10</t>
        </is>
      </c>
      <c r="F56" s="18" t="n"/>
      <c r="G56" s="19">
        <f>IF(OR(F56="",NOT(ISNUMBER(F56))),"",IFERROR(VLOOKUP(F56,'Assessment Scale'!$A$3:$C$13,3,FALSE),""))</f>
        <v/>
      </c>
      <c r="H56" s="18" t="n"/>
    </row>
    <row r="57">
      <c r="A57" s="14" t="inlineStr"/>
      <c r="B57" s="14" t="inlineStr">
        <is>
          <t>Q49</t>
        </is>
      </c>
      <c r="C57" s="15" t="inlineStr">
        <is>
          <t>Is the infrastructure and technology acquisition strategy defined, including procurement pathways and lead times?</t>
        </is>
      </c>
      <c r="D57" s="16" t="n"/>
      <c r="E57" s="17" t="inlineStr">
        <is>
          <t>Scale 0-10</t>
        </is>
      </c>
      <c r="F57" s="18" t="n"/>
      <c r="G57" s="19">
        <f>IF(OR(F57="",NOT(ISNUMBER(F57))),"",IFERROR(VLOOKUP(F57,'Assessment Scale'!$A$3:$C$13,3,FALSE),""))</f>
        <v/>
      </c>
      <c r="H57" s="18" t="n"/>
    </row>
    <row r="58">
      <c r="A58" s="14" t="inlineStr"/>
      <c r="B58" s="14" t="inlineStr">
        <is>
          <t>Q50</t>
        </is>
      </c>
      <c r="C58" s="15" t="inlineStr">
        <is>
          <t>Has a formal threat and risk assessment (including sovereignty and security classification) been completed and reviewed?</t>
        </is>
      </c>
      <c r="D58" s="20" t="inlineStr">
        <is>
          <t>Security</t>
        </is>
      </c>
      <c r="E58" s="21" t="inlineStr">
        <is>
          <t>Yes / No</t>
        </is>
      </c>
      <c r="F58" s="18" t="n"/>
      <c r="G58" s="19">
        <f>IF(OR(F58="",NOT(ISNUMBER(F58))),"",IFERROR(VLOOKUP(F58,'Assessment Scale'!$A$3:$C$13,3,FALSE),""))</f>
        <v/>
      </c>
      <c r="H58" s="18" t="n"/>
    </row>
    <row r="59">
      <c r="A59" s="14" t="inlineStr"/>
      <c r="B59" s="14" t="inlineStr">
        <is>
          <t>Q51</t>
        </is>
      </c>
      <c r="C59" s="15" t="inlineStr">
        <is>
          <t>How deep and well-prioritized is the feature and requirements backlog, and does it reflect validated stakeholder needs?</t>
        </is>
      </c>
      <c r="D59" s="16" t="n"/>
      <c r="E59" s="17" t="inlineStr">
        <is>
          <t>Scale 0-10</t>
        </is>
      </c>
      <c r="F59" s="18" t="n"/>
      <c r="G59" s="19">
        <f>IF(OR(F59="",NOT(ISNUMBER(F59))),"",IFERROR(VLOOKUP(F59,'Assessment Scale'!$A$3:$C$13,3,FALSE),""))</f>
        <v/>
      </c>
      <c r="H59" s="18" t="n"/>
    </row>
    <row r="60">
      <c r="A60" s="14" t="inlineStr"/>
      <c r="B60" s="14" t="inlineStr">
        <is>
          <t>Q52</t>
        </is>
      </c>
      <c r="C60" s="15" t="inlineStr">
        <is>
          <t>Are there operational runbooks, monitoring dashboards, and on-call processes in place to support production operations?</t>
        </is>
      </c>
      <c r="D60" s="16" t="n"/>
      <c r="E60" s="17" t="inlineStr">
        <is>
          <t>Scale 0-10</t>
        </is>
      </c>
      <c r="F60" s="18" t="n"/>
      <c r="G60" s="19">
        <f>IF(OR(F60="",NOT(ISNUMBER(F60))),"",IFERROR(VLOOKUP(F60,'Assessment Scale'!$A$3:$C$13,3,FALSE),""))</f>
        <v/>
      </c>
      <c r="H60" s="18" t="n"/>
    </row>
    <row r="61" ht="24" customHeight="1">
      <c r="A61" s="10" t="inlineStr">
        <is>
          <t>Governance &amp; Strategy — Section weight: 20%</t>
        </is>
      </c>
      <c r="B61" s="11" t="n"/>
      <c r="C61" s="11" t="n"/>
      <c r="D61" s="11" t="n"/>
      <c r="E61" s="11" t="n"/>
      <c r="F61" s="12">
        <f>IFERROR(ROUND(AVERAGE(F62:F70),1),"")</f>
        <v/>
      </c>
      <c r="G61" s="13" t="n">
        <v>0.2</v>
      </c>
      <c r="H61" s="11" t="n"/>
    </row>
    <row r="62">
      <c r="A62" s="14" t="inlineStr">
        <is>
          <t>S6</t>
        </is>
      </c>
      <c r="B62" s="14" t="inlineStr">
        <is>
          <t>Q53</t>
        </is>
      </c>
      <c r="C62" s="15" t="inlineStr">
        <is>
          <t>Is there a clearly defined governance model with accountable decision-makers for the solution's direction and performance?</t>
        </is>
      </c>
      <c r="D62" s="16" t="n"/>
      <c r="E62" s="17" t="inlineStr">
        <is>
          <t>Scale 0-10</t>
        </is>
      </c>
      <c r="F62" s="18" t="n"/>
      <c r="G62" s="19">
        <f>IF(OR(F62="",NOT(ISNUMBER(F62))),"",IFERROR(VLOOKUP(F62,'Assessment Scale'!$A$3:$C$13,3,FALSE),""))</f>
        <v/>
      </c>
      <c r="H62" s="18" t="n"/>
    </row>
    <row r="63">
      <c r="A63" s="14" t="inlineStr"/>
      <c r="B63" s="14" t="inlineStr">
        <is>
          <t>Q54</t>
        </is>
      </c>
      <c r="C63" s="15" t="inlineStr">
        <is>
          <t>How well does the solution align with the GC Digital Operations Strategic Plan and departmental enterprise strategy?</t>
        </is>
      </c>
      <c r="D63" s="16" t="n"/>
      <c r="E63" s="17" t="inlineStr">
        <is>
          <t>Scale 0-10</t>
        </is>
      </c>
      <c r="F63" s="18" t="n"/>
      <c r="G63" s="19">
        <f>IF(OR(F63="",NOT(ISNUMBER(F63))),"",IFERROR(VLOOKUP(F63,'Assessment Scale'!$A$3:$C$13,3,FALSE),""))</f>
        <v/>
      </c>
      <c r="H63" s="18" t="n"/>
    </row>
    <row r="64">
      <c r="A64" s="14" t="inlineStr"/>
      <c r="B64" s="14" t="inlineStr">
        <is>
          <t>Q55</t>
        </is>
      </c>
      <c r="C64" s="15" t="inlineStr">
        <is>
          <t>Is there a published roadmap with near, medium, and long-term milestones that is communicated to stakeholders?</t>
        </is>
      </c>
      <c r="D64" s="16" t="n"/>
      <c r="E64" s="21" t="inlineStr">
        <is>
          <t>Yes / No</t>
        </is>
      </c>
      <c r="F64" s="18" t="n"/>
      <c r="G64" s="19">
        <f>IF(OR(F64="",NOT(ISNUMBER(F64))),"",IFERROR(VLOOKUP(F64,'Assessment Scale'!$A$3:$C$13,3,FALSE),""))</f>
        <v/>
      </c>
      <c r="H64" s="18" t="n"/>
    </row>
    <row r="65">
      <c r="A65" s="14" t="inlineStr"/>
      <c r="B65" s="14" t="inlineStr">
        <is>
          <t>Q56</t>
        </is>
      </c>
      <c r="C65" s="15" t="inlineStr">
        <is>
          <t>How mature is the change management process, including impact assessment, approval workflows, and communication plans?</t>
        </is>
      </c>
      <c r="D65" s="16" t="n"/>
      <c r="E65" s="17" t="inlineStr">
        <is>
          <t>Scale 0-10</t>
        </is>
      </c>
      <c r="F65" s="18" t="n"/>
      <c r="G65" s="19">
        <f>IF(OR(F65="",NOT(ISNUMBER(F65))),"",IFERROR(VLOOKUP(F65,'Assessment Scale'!$A$3:$C$13,3,FALSE),""))</f>
        <v/>
      </c>
      <c r="H65" s="18" t="n"/>
    </row>
    <row r="66">
      <c r="A66" s="14" t="inlineStr"/>
      <c r="B66" s="14" t="inlineStr">
        <is>
          <t>Q57</t>
        </is>
      </c>
      <c r="C66" s="15" t="inlineStr">
        <is>
          <t>Are compliance requirements (legal, regulatory, policy, accessibility, bilingualism) formally tracked and verified?</t>
        </is>
      </c>
      <c r="D66" s="20" t="inlineStr">
        <is>
          <t>Accessibility, Official Languages</t>
        </is>
      </c>
      <c r="E66" s="17" t="inlineStr">
        <is>
          <t>Scale 0-10</t>
        </is>
      </c>
      <c r="F66" s="18" t="n"/>
      <c r="G66" s="19">
        <f>IF(OR(F66="",NOT(ISNUMBER(F66))),"",IFERROR(VLOOKUP(F66,'Assessment Scale'!$A$3:$C$13,3,FALSE),""))</f>
        <v/>
      </c>
      <c r="H66" s="18" t="n"/>
    </row>
    <row r="67">
      <c r="A67" s="14" t="inlineStr"/>
      <c r="B67" s="14" t="inlineStr">
        <is>
          <t>Q58</t>
        </is>
      </c>
      <c r="C67" s="15" t="inlineStr">
        <is>
          <t>Is there a formal risk register maintained for the solution, with assigned owners and documented mitigation strategies?</t>
        </is>
      </c>
      <c r="D67" s="16" t="n"/>
      <c r="E67" s="21" t="inlineStr">
        <is>
          <t>Yes / No</t>
        </is>
      </c>
      <c r="F67" s="18" t="n"/>
      <c r="G67" s="19">
        <f>IF(OR(F67="",NOT(ISNUMBER(F67))),"",IFERROR(VLOOKUP(F67,'Assessment Scale'!$A$3:$C$13,3,FALSE),""))</f>
        <v/>
      </c>
      <c r="H67" s="18" t="n"/>
    </row>
    <row r="68">
      <c r="A68" s="14" t="inlineStr"/>
      <c r="B68" s="14" t="inlineStr">
        <is>
          <t>Q59</t>
        </is>
      </c>
      <c r="C68" s="15" t="inlineStr">
        <is>
          <t>How well is vendor and third-party relationship governance defined, including performance monitoring and exit strategies?</t>
        </is>
      </c>
      <c r="D68" s="16" t="n"/>
      <c r="E68" s="17" t="inlineStr">
        <is>
          <t>Scale 0-10</t>
        </is>
      </c>
      <c r="F68" s="18" t="n"/>
      <c r="G68" s="19">
        <f>IF(OR(F68="",NOT(ISNUMBER(F68))),"",IFERROR(VLOOKUP(F68,'Assessment Scale'!$A$3:$C$13,3,FALSE),""))</f>
        <v/>
      </c>
      <c r="H68" s="18" t="n"/>
    </row>
    <row r="69">
      <c r="A69" s="14" t="inlineStr"/>
      <c r="B69" s="14" t="inlineStr">
        <is>
          <t>Q60</t>
        </is>
      </c>
      <c r="C69" s="15" t="inlineStr">
        <is>
          <t>Is there a documented and approved data governance model aligned with the solution's information and privacy requirements?</t>
        </is>
      </c>
      <c r="D69" s="20" t="inlineStr">
        <is>
          <t>Privacy</t>
        </is>
      </c>
      <c r="E69" s="17" t="inlineStr">
        <is>
          <t>Scale 0-10</t>
        </is>
      </c>
      <c r="F69" s="18" t="n"/>
      <c r="G69" s="19">
        <f>IF(OR(F69="",NOT(ISNUMBER(F69))),"",IFERROR(VLOOKUP(F69,'Assessment Scale'!$A$3:$C$13,3,FALSE),""))</f>
        <v/>
      </c>
      <c r="H69" s="18" t="n"/>
    </row>
    <row r="70">
      <c r="A70" s="14" t="inlineStr"/>
      <c r="B70" s="14" t="inlineStr">
        <is>
          <t>Q61</t>
        </is>
      </c>
      <c r="C70" s="15" t="inlineStr">
        <is>
          <t>How well does the solution contribute to GC-wide shared service consolidation and enterprise architecture objectives?</t>
        </is>
      </c>
      <c r="D70" s="16" t="n"/>
      <c r="E70" s="17" t="inlineStr">
        <is>
          <t>Scale 0-10</t>
        </is>
      </c>
      <c r="F70" s="18" t="n"/>
      <c r="G70" s="19">
        <f>IF(OR(F70="",NOT(ISNUMBER(F70))),"",IFERROR(VLOOKUP(F70,'Assessment Scale'!$A$3:$C$13,3,FALSE),""))</f>
        <v/>
      </c>
      <c r="H70" s="18" t="n"/>
    </row>
    <row r="72">
      <c r="A72" s="22" t="inlineStr">
        <is>
          <t>Domain score, weighted across the sections answered</t>
        </is>
      </c>
      <c r="B72" s="23" t="n"/>
      <c r="C72" s="23" t="n"/>
      <c r="D72" s="23" t="n"/>
      <c r="E72" s="23" t="n"/>
      <c r="F72" s="24">
        <f>IFERROR(ROUND((N(F4)*N(G4)+N(F19)*N(G19)+N(F33)*N(G33)+N(F43)*N(G43)+N(F52)*N(G52)+N(F61)*N(G61))/((F4&lt;&gt;"")*N(G4)+(F19&lt;&gt;"")*N(G19)+(F33&lt;&gt;"")*N(G33)+(F43&lt;&gt;"")*N(G43)+(F52&lt;&gt;"")*N(G52)+(F61&lt;&gt;"")*N(G61)),1),"")</f>
        <v/>
      </c>
      <c r="G72" s="25" t="inlineStr">
        <is>
          <t>out of 10</t>
        </is>
      </c>
      <c r="H72" s="23" t="n"/>
    </row>
  </sheetData>
  <mergeCells count="9">
    <mergeCell ref="A4:E4"/>
    <mergeCell ref="A43:E43"/>
    <mergeCell ref="A72:E72"/>
    <mergeCell ref="A52:E52"/>
    <mergeCell ref="A2:H2"/>
    <mergeCell ref="A33:E33"/>
    <mergeCell ref="A19:E19"/>
    <mergeCell ref="A1:H1"/>
    <mergeCell ref="A61:E61"/>
  </mergeCells>
  <dataValidations count="3">
    <dataValidation sqref="D4:D70" showDropDown="0" showInputMessage="0" showErrorMessage="1" allowBlank="1" promptTitle="What else is it about?" prompt="The subjects this question is also about, beyond its own domain. Tick as many as apply. Leave it empty when there are none." type="list">
      <formula1>"Security,Privacy,Financial,Accessibility,Official Languages"</formula1>
    </dataValidation>
    <dataValidation sqref="E4:E70" showDropDown="0" showInputMessage="0" showErrorMessage="1" allowBlank="1" promptTitle="Scale or yes-or-no?" prompt="How this question is answered. Ours, and provisional: change it if it reads wrong." type="list">
      <formula1>"Scale 0-10,Yes / No"</formula1>
    </dataValidation>
    <dataValidation sqref="F4:F70" showDropDown="0" showInputMessage="0" showErrorMessage="1" allowBlank="1" promptTitle="The answer" prompt="A maturity score from 0 to 10, or Yes or No for a question that reads as one, or N/A when the question does not apply." type="list">
      <formula1>"0,1,2,3,4,5,6,7,8,9,10,Yes,No,N/A"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9"/>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6" customWidth="1" min="2" max="2"/>
    <col width="58" customWidth="1" min="3" max="3"/>
    <col width="30" customWidth="1" min="4" max="4"/>
    <col width="13" customWidth="1" min="5" max="5"/>
    <col width="11" customWidth="1" min="6" max="6"/>
    <col width="15" customWidth="1" min="7" max="7"/>
    <col width="30" customWidth="1" min="8" max="8"/>
  </cols>
  <sheetData>
    <row r="1" ht="30" customHeight="1">
      <c r="A1" s="6" t="inlineStr">
        <is>
          <t>Data &amp; Information Architecture  ·  Turning raw data into trusted, connected insights</t>
        </is>
      </c>
    </row>
    <row r="2">
      <c r="A2" s="7" t="inlineStr">
        <is>
          <t xml:space="preserve">   Overall weight in GC EA score: 25%</t>
        </is>
      </c>
    </row>
    <row r="3" ht="30" customHeight="1">
      <c r="A3" s="8" t="inlineStr">
        <is>
          <t>#</t>
        </is>
      </c>
      <c r="B3" s="8" t="inlineStr">
        <is>
          <t>Q#</t>
        </is>
      </c>
      <c r="C3" s="8" t="inlineStr">
        <is>
          <t>Assessment Question</t>
        </is>
      </c>
      <c r="D3" s="9" t="inlineStr">
        <is>
          <t>Categories</t>
        </is>
      </c>
      <c r="E3" s="9" t="inlineStr">
        <is>
          <t>Answer type</t>
        </is>
      </c>
      <c r="F3" s="9" t="inlineStr">
        <is>
          <t>Answer</t>
        </is>
      </c>
      <c r="G3" s="9" t="inlineStr">
        <is>
          <t>Maturity Label</t>
        </is>
      </c>
      <c r="H3" s="9" t="inlineStr">
        <is>
          <t>Notes / Evidence</t>
        </is>
      </c>
    </row>
    <row r="4" ht="24" customHeight="1">
      <c r="A4" s="10" t="inlineStr">
        <is>
          <t>Defining the Current State — Section weight: 10%</t>
        </is>
      </c>
      <c r="B4" s="11" t="n"/>
      <c r="C4" s="11" t="n"/>
      <c r="D4" s="11" t="n"/>
      <c r="E4" s="11" t="n"/>
      <c r="F4" s="12">
        <f>IFERROR(ROUND(AVERAGE(F5:F13),1),"")</f>
        <v/>
      </c>
      <c r="G4" s="13" t="n">
        <v>0.1</v>
      </c>
      <c r="H4" s="11" t="n"/>
    </row>
    <row r="5">
      <c r="A5" s="14" t="inlineStr">
        <is>
          <t>S1</t>
        </is>
      </c>
      <c r="B5" s="14" t="inlineStr">
        <is>
          <t>Q1</t>
        </is>
      </c>
      <c r="C5" s="15" t="inlineStr">
        <is>
          <t>How well documented are current data models, entity relationships, and data-sharing agreements?</t>
        </is>
      </c>
      <c r="D5" s="16" t="n"/>
      <c r="E5" s="17" t="inlineStr">
        <is>
          <t>Scale 0-10</t>
        </is>
      </c>
      <c r="F5" s="18" t="n"/>
      <c r="G5" s="19">
        <f>IF(OR(F5="",NOT(ISNUMBER(F5))),"",IFERROR(VLOOKUP(F5,'Assessment Scale'!$A$3:$C$13,3,FALSE),""))</f>
        <v/>
      </c>
      <c r="H5" s="18" t="n"/>
    </row>
    <row r="6">
      <c r="A6" s="14" t="inlineStr"/>
      <c r="B6" s="14" t="inlineStr">
        <is>
          <t>Q2</t>
        </is>
      </c>
      <c r="C6" s="15" t="inlineStr">
        <is>
          <t>What is the degree of data fragmentation, duplication, and inconsistency across the current solution and its dependencies?</t>
        </is>
      </c>
      <c r="D6" s="16" t="n"/>
      <c r="E6" s="17" t="inlineStr">
        <is>
          <t>Scale 0-10</t>
        </is>
      </c>
      <c r="F6" s="18" t="n"/>
      <c r="G6" s="19">
        <f>IF(OR(F6="",NOT(ISNUMBER(F6))),"",IFERROR(VLOOKUP(F6,'Assessment Scale'!$A$3:$C$13,3,FALSE),""))</f>
        <v/>
      </c>
      <c r="H6" s="18" t="n"/>
    </row>
    <row r="7">
      <c r="A7" s="14" t="inlineStr"/>
      <c r="B7" s="14" t="inlineStr">
        <is>
          <t>Q3</t>
        </is>
      </c>
      <c r="C7" s="15" t="inlineStr">
        <is>
          <t>How well understood are data volumes, growth rates, residency requirements, and encryption posture?</t>
        </is>
      </c>
      <c r="D7" s="20" t="inlineStr">
        <is>
          <t>Security</t>
        </is>
      </c>
      <c r="E7" s="17" t="inlineStr">
        <is>
          <t>Scale 0-10</t>
        </is>
      </c>
      <c r="F7" s="18" t="n"/>
      <c r="G7" s="19">
        <f>IF(OR(F7="",NOT(ISNUMBER(F7))),"",IFERROR(VLOOKUP(F7,'Assessment Scale'!$A$3:$C$13,3,FALSE),""))</f>
        <v/>
      </c>
      <c r="H7" s="18" t="n"/>
    </row>
    <row r="8">
      <c r="A8" s="14" t="inlineStr"/>
      <c r="B8" s="14" t="inlineStr">
        <is>
          <t>Q4</t>
        </is>
      </c>
      <c r="C8" s="15" t="inlineStr">
        <is>
          <t>Is the lifespan and full data lifecycle — from creation to disposition — mapped and governed?</t>
        </is>
      </c>
      <c r="D8" s="16" t="n"/>
      <c r="E8" s="17" t="inlineStr">
        <is>
          <t>Scale 0-10</t>
        </is>
      </c>
      <c r="F8" s="18" t="n"/>
      <c r="G8" s="19">
        <f>IF(OR(F8="",NOT(ISNUMBER(F8))),"",IFERROR(VLOOKUP(F8,'Assessment Scale'!$A$3:$C$13,3,FALSE),""))</f>
        <v/>
      </c>
      <c r="H8" s="18" t="n"/>
    </row>
    <row r="9">
      <c r="A9" s="14" t="inlineStr"/>
      <c r="B9" s="14" t="inlineStr">
        <is>
          <t>Q5</t>
        </is>
      </c>
      <c r="C9" s="15" t="inlineStr">
        <is>
          <t>Are data formats proprietary or based on open, interoperable standards?</t>
        </is>
      </c>
      <c r="D9" s="16" t="n"/>
      <c r="E9" s="17" t="inlineStr">
        <is>
          <t>Scale 0-10</t>
        </is>
      </c>
      <c r="F9" s="18" t="n"/>
      <c r="G9" s="19">
        <f>IF(OR(F9="",NOT(ISNUMBER(F9))),"",IFERROR(VLOOKUP(F9,'Assessment Scale'!$A$3:$C$13,3,FALSE),""))</f>
        <v/>
      </c>
      <c r="H9" s="18" t="n"/>
    </row>
    <row r="10">
      <c r="A10" s="14" t="inlineStr"/>
      <c r="B10" s="14" t="inlineStr">
        <is>
          <t>Q6</t>
        </is>
      </c>
      <c r="C10" s="15" t="inlineStr">
        <is>
          <t>How open and transparent is data publication, and is a default-open approach applied where appropriate?</t>
        </is>
      </c>
      <c r="D10" s="16" t="n"/>
      <c r="E10" s="17" t="inlineStr">
        <is>
          <t>Scale 0-10</t>
        </is>
      </c>
      <c r="F10" s="18" t="n"/>
      <c r="G10" s="19">
        <f>IF(OR(F10="",NOT(ISNUMBER(F10))),"",IFERROR(VLOOKUP(F10,'Assessment Scale'!$A$3:$C$13,3,FALSE),""))</f>
        <v/>
      </c>
      <c r="H10" s="18" t="n"/>
    </row>
    <row r="11">
      <c r="A11" s="14" t="inlineStr"/>
      <c r="B11" s="14" t="inlineStr">
        <is>
          <t>Q7</t>
        </is>
      </c>
      <c r="C11" s="15" t="inlineStr">
        <is>
          <t>Are analytics and trend analysis capabilities available to support decision-making from current data assets?</t>
        </is>
      </c>
      <c r="D11" s="16" t="n"/>
      <c r="E11" s="17" t="inlineStr">
        <is>
          <t>Scale 0-10</t>
        </is>
      </c>
      <c r="F11" s="18" t="n"/>
      <c r="G11" s="19">
        <f>IF(OR(F11="",NOT(ISNUMBER(F11))),"",IFERROR(VLOOKUP(F11,'Assessment Scale'!$A$3:$C$13,3,FALSE),""))</f>
        <v/>
      </c>
      <c r="H11" s="18" t="n"/>
    </row>
    <row r="12">
      <c r="A12" s="14" t="inlineStr"/>
      <c r="B12" s="14" t="inlineStr">
        <is>
          <t>Q8</t>
        </is>
      </c>
      <c r="C12" s="15" t="inlineStr">
        <is>
          <t>How mature are data access controls, auditing mechanisms, and the ability to trace who accessed what and when?</t>
        </is>
      </c>
      <c r="D12" s="20" t="inlineStr">
        <is>
          <t>Security</t>
        </is>
      </c>
      <c r="E12" s="17" t="inlineStr">
        <is>
          <t>Scale 0-10</t>
        </is>
      </c>
      <c r="F12" s="18" t="n"/>
      <c r="G12" s="19">
        <f>IF(OR(F12="",NOT(ISNUMBER(F12))),"",IFERROR(VLOOKUP(F12,'Assessment Scale'!$A$3:$C$13,3,FALSE),""))</f>
        <v/>
      </c>
      <c r="H12" s="18" t="n"/>
    </row>
    <row r="13">
      <c r="A13" s="14" t="inlineStr"/>
      <c r="B13" s="14" t="inlineStr">
        <is>
          <t>Q9</t>
        </is>
      </c>
      <c r="C13" s="15" t="inlineStr">
        <is>
          <t>How interoperable is the current data environment with other GC systems, programs, and platforms?</t>
        </is>
      </c>
      <c r="D13" s="16" t="n"/>
      <c r="E13" s="17" t="inlineStr">
        <is>
          <t>Scale 0-10</t>
        </is>
      </c>
      <c r="F13" s="18" t="n"/>
      <c r="G13" s="19">
        <f>IF(OR(F13="",NOT(ISNUMBER(F13))),"",IFERROR(VLOOKUP(F13,'Assessment Scale'!$A$3:$C$13,3,FALSE),""))</f>
        <v/>
      </c>
      <c r="H13" s="18" t="n"/>
    </row>
    <row r="14" ht="24" customHeight="1">
      <c r="A14" s="10" t="inlineStr">
        <is>
          <t>Data Architecture &amp; Standards — Section weight: 40%</t>
        </is>
      </c>
      <c r="B14" s="11" t="n"/>
      <c r="C14" s="11" t="n"/>
      <c r="D14" s="11" t="n"/>
      <c r="E14" s="11" t="n"/>
      <c r="F14" s="12">
        <f>IFERROR(ROUND(AVERAGE(F15:F26),1),"")</f>
        <v/>
      </c>
      <c r="G14" s="13" t="n">
        <v>0.4</v>
      </c>
      <c r="H14" s="11" t="n"/>
    </row>
    <row r="15">
      <c r="A15" s="14" t="inlineStr">
        <is>
          <t>S2</t>
        </is>
      </c>
      <c r="B15" s="14" t="inlineStr">
        <is>
          <t>Q10</t>
        </is>
      </c>
      <c r="C15" s="15" t="inlineStr">
        <is>
          <t>Is there a formal, documented data model that reflects all key entities, relationships, attributes, and business rules?</t>
        </is>
      </c>
      <c r="D15" s="16" t="n"/>
      <c r="E15" s="17" t="inlineStr">
        <is>
          <t>Scale 0-10</t>
        </is>
      </c>
      <c r="F15" s="18" t="n"/>
      <c r="G15" s="19">
        <f>IF(OR(F15="",NOT(ISNUMBER(F15))),"",IFERROR(VLOOKUP(F15,'Assessment Scale'!$A$3:$C$13,3,FALSE),""))</f>
        <v/>
      </c>
      <c r="H15" s="18" t="n"/>
    </row>
    <row r="16">
      <c r="A16" s="14" t="inlineStr"/>
      <c r="B16" s="14" t="inlineStr">
        <is>
          <t>Q11</t>
        </is>
      </c>
      <c r="C16" s="15" t="inlineStr">
        <is>
          <t>How mature is master data management — are authoritative data sources identified, maintained, and trusted?</t>
        </is>
      </c>
      <c r="D16" s="16" t="n"/>
      <c r="E16" s="17" t="inlineStr">
        <is>
          <t>Scale 0-10</t>
        </is>
      </c>
      <c r="F16" s="18" t="n"/>
      <c r="G16" s="19">
        <f>IF(OR(F16="",NOT(ISNUMBER(F16))),"",IFERROR(VLOOKUP(F16,'Assessment Scale'!$A$3:$C$13,3,FALSE),""))</f>
        <v/>
      </c>
      <c r="H16" s="18" t="n"/>
    </row>
    <row r="17">
      <c r="A17" s="14" t="inlineStr"/>
      <c r="B17" s="14" t="inlineStr">
        <is>
          <t>Q12</t>
        </is>
      </c>
      <c r="C17" s="15" t="inlineStr">
        <is>
          <t>Is data lifecycle governance established, covering creation, versioning, archiving, and secure disposition?</t>
        </is>
      </c>
      <c r="D17" s="20" t="inlineStr">
        <is>
          <t>Security</t>
        </is>
      </c>
      <c r="E17" s="17" t="inlineStr">
        <is>
          <t>Scale 0-10</t>
        </is>
      </c>
      <c r="F17" s="18" t="n"/>
      <c r="G17" s="19">
        <f>IF(OR(F17="",NOT(ISNUMBER(F17))),"",IFERROR(VLOOKUP(F17,'Assessment Scale'!$A$3:$C$13,3,FALSE),""))</f>
        <v/>
      </c>
      <c r="H17" s="18" t="n"/>
    </row>
    <row r="18">
      <c r="A18" s="14" t="inlineStr"/>
      <c r="B18" s="14" t="inlineStr">
        <is>
          <t>Q13</t>
        </is>
      </c>
      <c r="C18" s="15" t="inlineStr">
        <is>
          <t>Are international and GC data standards applied (e.g., ISO, DCAT, NIEM, GC Open Data Directive)?</t>
        </is>
      </c>
      <c r="D18" s="16" t="n"/>
      <c r="E18" s="17" t="inlineStr">
        <is>
          <t>Scale 0-10</t>
        </is>
      </c>
      <c r="F18" s="18" t="n"/>
      <c r="G18" s="19">
        <f>IF(OR(F18="",NOT(ISNUMBER(F18))),"",IFERROR(VLOOKUP(F18,'Assessment Scale'!$A$3:$C$13,3,FALSE),""))</f>
        <v/>
      </c>
      <c r="H18" s="18" t="n"/>
    </row>
    <row r="19">
      <c r="A19" s="14" t="inlineStr"/>
      <c r="B19" s="14" t="inlineStr">
        <is>
          <t>Q14</t>
        </is>
      </c>
      <c r="C19" s="15" t="inlineStr">
        <is>
          <t>How well defined is data lineage — can the origin, transformation, and movement of data be traced end-to-end?</t>
        </is>
      </c>
      <c r="D19" s="16" t="n"/>
      <c r="E19" s="17" t="inlineStr">
        <is>
          <t>Scale 0-10</t>
        </is>
      </c>
      <c r="F19" s="18" t="n"/>
      <c r="G19" s="19">
        <f>IF(OR(F19="",NOT(ISNUMBER(F19))),"",IFERROR(VLOOKUP(F19,'Assessment Scale'!$A$3:$C$13,3,FALSE),""))</f>
        <v/>
      </c>
      <c r="H19" s="18" t="n"/>
    </row>
    <row r="20">
      <c r="A20" s="14" t="inlineStr"/>
      <c r="B20" s="14" t="inlineStr">
        <is>
          <t>Q15</t>
        </is>
      </c>
      <c r="C20" s="15" t="inlineStr">
        <is>
          <t>Is comprehensive metadata management in place, enabling data discovery, classification, and contextual understanding?</t>
        </is>
      </c>
      <c r="D20" s="16" t="n"/>
      <c r="E20" s="17" t="inlineStr">
        <is>
          <t>Scale 0-10</t>
        </is>
      </c>
      <c r="F20" s="18" t="n"/>
      <c r="G20" s="19">
        <f>IF(OR(F20="",NOT(ISNUMBER(F20))),"",IFERROR(VLOOKUP(F20,'Assessment Scale'!$A$3:$C$13,3,FALSE),""))</f>
        <v/>
      </c>
      <c r="H20" s="18" t="n"/>
    </row>
    <row r="21">
      <c r="A21" s="14" t="inlineStr"/>
      <c r="B21" s="14" t="inlineStr">
        <is>
          <t>Q16</t>
        </is>
      </c>
      <c r="C21" s="15" t="inlineStr">
        <is>
          <t>How mature is data quality management — are completeness, accuracy, consistency, and timeliness measured and enforced?</t>
        </is>
      </c>
      <c r="D21" s="16" t="n"/>
      <c r="E21" s="17" t="inlineStr">
        <is>
          <t>Scale 0-10</t>
        </is>
      </c>
      <c r="F21" s="18" t="n"/>
      <c r="G21" s="19">
        <f>IF(OR(F21="",NOT(ISNUMBER(F21))),"",IFERROR(VLOOKUP(F21,'Assessment Scale'!$A$3:$C$13,3,FALSE),""))</f>
        <v/>
      </c>
      <c r="H21" s="18" t="n"/>
    </row>
    <row r="22">
      <c r="A22" s="14" t="inlineStr"/>
      <c r="B22" s="14" t="inlineStr">
        <is>
          <t>Q17</t>
        </is>
      </c>
      <c r="C22" s="15" t="inlineStr">
        <is>
          <t>Is data instrumentation in place to capture operational telemetry, audit records, and system-generated metadata?</t>
        </is>
      </c>
      <c r="D22" s="16" t="n"/>
      <c r="E22" s="17" t="inlineStr">
        <is>
          <t>Scale 0-10</t>
        </is>
      </c>
      <c r="F22" s="18" t="n"/>
      <c r="G22" s="19">
        <f>IF(OR(F22="",NOT(ISNUMBER(F22))),"",IFERROR(VLOOKUP(F22,'Assessment Scale'!$A$3:$C$13,3,FALSE),""))</f>
        <v/>
      </c>
      <c r="H22" s="18" t="n"/>
    </row>
    <row r="23">
      <c r="A23" s="14" t="inlineStr"/>
      <c r="B23" s="14" t="inlineStr">
        <is>
          <t>Q18</t>
        </is>
      </c>
      <c r="C23" s="15" t="inlineStr">
        <is>
          <t>Are data read/write performance requirements (volumes, IOPS, movement patterns) understood and architecturally addressed?</t>
        </is>
      </c>
      <c r="D23" s="16" t="n"/>
      <c r="E23" s="17" t="inlineStr">
        <is>
          <t>Scale 0-10</t>
        </is>
      </c>
      <c r="F23" s="18" t="n"/>
      <c r="G23" s="19">
        <f>IF(OR(F23="",NOT(ISNUMBER(F23))),"",IFERROR(VLOOKUP(F23,'Assessment Scale'!$A$3:$C$13,3,FALSE),""))</f>
        <v/>
      </c>
      <c r="H23" s="18" t="n"/>
    </row>
    <row r="24">
      <c r="A24" s="14" t="inlineStr"/>
      <c r="B24" s="14" t="inlineStr">
        <is>
          <t>Q19</t>
        </is>
      </c>
      <c r="C24" s="15" t="inlineStr">
        <is>
          <t>Is there a strategy for structured, semi-structured, and unstructured data that applies consistent governance across all types?</t>
        </is>
      </c>
      <c r="D24" s="16" t="n"/>
      <c r="E24" s="17" t="inlineStr">
        <is>
          <t>Scale 0-10</t>
        </is>
      </c>
      <c r="F24" s="18" t="n"/>
      <c r="G24" s="19">
        <f>IF(OR(F24="",NOT(ISNUMBER(F24))),"",IFERROR(VLOOKUP(F24,'Assessment Scale'!$A$3:$C$13,3,FALSE),""))</f>
        <v/>
      </c>
      <c r="H24" s="18" t="n"/>
    </row>
    <row r="25">
      <c r="A25" s="14" t="inlineStr"/>
      <c r="B25" s="14" t="inlineStr">
        <is>
          <t>Q20</t>
        </is>
      </c>
      <c r="C25" s="15" t="inlineStr">
        <is>
          <t>How well is data residency managed — are intentional copies of data tracked, controlled, and compliant with policy?</t>
        </is>
      </c>
      <c r="D25" s="16" t="n"/>
      <c r="E25" s="17" t="inlineStr">
        <is>
          <t>Scale 0-10</t>
        </is>
      </c>
      <c r="F25" s="18" t="n"/>
      <c r="G25" s="19">
        <f>IF(OR(F25="",NOT(ISNUMBER(F25))),"",IFERROR(VLOOKUP(F25,'Assessment Scale'!$A$3:$C$13,3,FALSE),""))</f>
        <v/>
      </c>
      <c r="H25" s="18" t="n"/>
    </row>
    <row r="26">
      <c r="A26" s="14" t="inlineStr"/>
      <c r="B26" s="14" t="inlineStr">
        <is>
          <t>Q21</t>
        </is>
      </c>
      <c r="C26" s="15" t="inlineStr">
        <is>
          <t>Does the architecture support event-driven data integration patterns and real-time data processing where needed?</t>
        </is>
      </c>
      <c r="D26" s="16" t="n"/>
      <c r="E26" s="17" t="inlineStr">
        <is>
          <t>Scale 0-10</t>
        </is>
      </c>
      <c r="F26" s="18" t="n"/>
      <c r="G26" s="19">
        <f>IF(OR(F26="",NOT(ISNUMBER(F26))),"",IFERROR(VLOOKUP(F26,'Assessment Scale'!$A$3:$C$13,3,FALSE),""))</f>
        <v/>
      </c>
      <c r="H26" s="18" t="n"/>
    </row>
    <row r="27" ht="24" customHeight="1">
      <c r="A27" s="10" t="inlineStr">
        <is>
          <t>Privacy, Protection &amp; Compliance — Section weight: 25%</t>
        </is>
      </c>
      <c r="B27" s="11" t="n"/>
      <c r="C27" s="11" t="n"/>
      <c r="D27" s="11" t="n"/>
      <c r="E27" s="11" t="n"/>
      <c r="F27" s="12">
        <f>IFERROR(ROUND(AVERAGE(F28:F36),1),"")</f>
        <v/>
      </c>
      <c r="G27" s="13" t="n">
        <v>0.25</v>
      </c>
      <c r="H27" s="11" t="n"/>
    </row>
    <row r="28">
      <c r="A28" s="14" t="inlineStr">
        <is>
          <t>S3</t>
        </is>
      </c>
      <c r="B28" s="14" t="inlineStr">
        <is>
          <t>Q22</t>
        </is>
      </c>
      <c r="C28" s="15" t="inlineStr">
        <is>
          <t>Has a Privacy Impact Assessment (PIA) been completed, and does the architecture reflect its recommendations?</t>
        </is>
      </c>
      <c r="D28" s="20" t="inlineStr">
        <is>
          <t>Privacy</t>
        </is>
      </c>
      <c r="E28" s="21" t="inlineStr">
        <is>
          <t>Yes / No</t>
        </is>
      </c>
      <c r="F28" s="18" t="n"/>
      <c r="G28" s="19">
        <f>IF(OR(F28="",NOT(ISNUMBER(F28))),"",IFERROR(VLOOKUP(F28,'Assessment Scale'!$A$3:$C$13,3,FALSE),""))</f>
        <v/>
      </c>
      <c r="H28" s="18" t="n"/>
    </row>
    <row r="29">
      <c r="A29" s="14" t="inlineStr"/>
      <c r="B29" s="14" t="inlineStr">
        <is>
          <t>Q23</t>
        </is>
      </c>
      <c r="C29" s="15" t="inlineStr">
        <is>
          <t>Is Privacy by Design embedded throughout the solution, from data collection through to disposition?</t>
        </is>
      </c>
      <c r="D29" s="20" t="inlineStr">
        <is>
          <t>Privacy</t>
        </is>
      </c>
      <c r="E29" s="17" t="inlineStr">
        <is>
          <t>Scale 0-10</t>
        </is>
      </c>
      <c r="F29" s="18" t="n"/>
      <c r="G29" s="19">
        <f>IF(OR(F29="",NOT(ISNUMBER(F29))),"",IFERROR(VLOOKUP(F29,'Assessment Scale'!$A$3:$C$13,3,FALSE),""))</f>
        <v/>
      </c>
      <c r="H29" s="18" t="n"/>
    </row>
    <row r="30">
      <c r="A30" s="14" t="inlineStr"/>
      <c r="B30" s="14" t="inlineStr">
        <is>
          <t>Q24</t>
        </is>
      </c>
      <c r="C30" s="15" t="inlineStr">
        <is>
          <t>How mature is data categorization — are all data assets classified by sensitivity, and is handling appropriate to classification?</t>
        </is>
      </c>
      <c r="D30" s="16" t="n"/>
      <c r="E30" s="17" t="inlineStr">
        <is>
          <t>Scale 0-10</t>
        </is>
      </c>
      <c r="F30" s="18" t="n"/>
      <c r="G30" s="19">
        <f>IF(OR(F30="",NOT(ISNUMBER(F30))),"",IFERROR(VLOOKUP(F30,'Assessment Scale'!$A$3:$C$13,3,FALSE),""))</f>
        <v/>
      </c>
      <c r="H30" s="18" t="n"/>
    </row>
    <row r="31">
      <c r="A31" s="14" t="inlineStr"/>
      <c r="B31" s="14" t="inlineStr">
        <is>
          <t>Q25</t>
        </is>
      </c>
      <c r="C31" s="15" t="inlineStr">
        <is>
          <t>Is encryption applied at rest, in transit, and in processing for all data at the appropriate sensitivity level?</t>
        </is>
      </c>
      <c r="D31" s="20" t="inlineStr">
        <is>
          <t>Security</t>
        </is>
      </c>
      <c r="E31" s="17" t="inlineStr">
        <is>
          <t>Scale 0-10</t>
        </is>
      </c>
      <c r="F31" s="18" t="n"/>
      <c r="G31" s="19">
        <f>IF(OR(F31="",NOT(ISNUMBER(F31))),"",IFERROR(VLOOKUP(F31,'Assessment Scale'!$A$3:$C$13,3,FALSE),""))</f>
        <v/>
      </c>
      <c r="H31" s="18" t="n"/>
    </row>
    <row r="32">
      <c r="A32" s="14" t="inlineStr"/>
      <c r="B32" s="14" t="inlineStr">
        <is>
          <t>Q26</t>
        </is>
      </c>
      <c r="C32" s="15" t="inlineStr">
        <is>
          <t>Are data sovereignty requirements met — is there full awareness of where data resides, crosses borders, and is subject to foreign law?</t>
        </is>
      </c>
      <c r="D32" s="20" t="inlineStr">
        <is>
          <t>Security</t>
        </is>
      </c>
      <c r="E32" s="17" t="inlineStr">
        <is>
          <t>Scale 0-10</t>
        </is>
      </c>
      <c r="F32" s="18" t="n"/>
      <c r="G32" s="19">
        <f>IF(OR(F32="",NOT(ISNUMBER(F32))),"",IFERROR(VLOOKUP(F32,'Assessment Scale'!$A$3:$C$13,3,FALSE),""))</f>
        <v/>
      </c>
      <c r="H32" s="18" t="n"/>
    </row>
    <row r="33">
      <c r="A33" s="14" t="inlineStr"/>
      <c r="B33" s="14" t="inlineStr">
        <is>
          <t>Q27</t>
        </is>
      </c>
      <c r="C33" s="15" t="inlineStr">
        <is>
          <t>Are data retention and disposition policies enforced, including secure deletion and legal hold capabilities?</t>
        </is>
      </c>
      <c r="D33" s="20" t="inlineStr">
        <is>
          <t>Security, Privacy</t>
        </is>
      </c>
      <c r="E33" s="17" t="inlineStr">
        <is>
          <t>Scale 0-10</t>
        </is>
      </c>
      <c r="F33" s="18" t="n"/>
      <c r="G33" s="19">
        <f>IF(OR(F33="",NOT(ISNUMBER(F33))),"",IFERROR(VLOOKUP(F33,'Assessment Scale'!$A$3:$C$13,3,FALSE),""))</f>
        <v/>
      </c>
      <c r="H33" s="18" t="n"/>
    </row>
    <row r="34">
      <c r="A34" s="14" t="inlineStr"/>
      <c r="B34" s="14" t="inlineStr">
        <is>
          <t>Q28</t>
        </is>
      </c>
      <c r="C34" s="15" t="inlineStr">
        <is>
          <t>How well are collection limitation principles applied — is only necessary data collected, with informed consent where required?</t>
        </is>
      </c>
      <c r="D34" s="20" t="inlineStr">
        <is>
          <t>Privacy</t>
        </is>
      </c>
      <c r="E34" s="17" t="inlineStr">
        <is>
          <t>Scale 0-10</t>
        </is>
      </c>
      <c r="F34" s="18" t="n"/>
      <c r="G34" s="19">
        <f>IF(OR(F34="",NOT(ISNUMBER(F34))),"",IFERROR(VLOOKUP(F34,'Assessment Scale'!$A$3:$C$13,3,FALSE),""))</f>
        <v/>
      </c>
      <c r="H34" s="18" t="n"/>
    </row>
    <row r="35">
      <c r="A35" s="14" t="inlineStr"/>
      <c r="B35" s="14" t="inlineStr">
        <is>
          <t>Q29</t>
        </is>
      </c>
      <c r="C35" s="15" t="inlineStr">
        <is>
          <t>Is there a documented breach response plan, and has it been tested?</t>
        </is>
      </c>
      <c r="D35" s="20" t="inlineStr">
        <is>
          <t>Security</t>
        </is>
      </c>
      <c r="E35" s="21" t="inlineStr">
        <is>
          <t>Yes / No</t>
        </is>
      </c>
      <c r="F35" s="18" t="n"/>
      <c r="G35" s="19">
        <f>IF(OR(F35="",NOT(ISNUMBER(F35))),"",IFERROR(VLOOKUP(F35,'Assessment Scale'!$A$3:$C$13,3,FALSE),""))</f>
        <v/>
      </c>
      <c r="H35" s="18" t="n"/>
    </row>
    <row r="36">
      <c r="A36" s="14" t="inlineStr"/>
      <c r="B36" s="14" t="inlineStr">
        <is>
          <t>Q30</t>
        </is>
      </c>
      <c r="C36" s="15" t="inlineStr">
        <is>
          <t>Are access controls enforced at the data level, ensuring role-based and attribute-based access is actively governed?</t>
        </is>
      </c>
      <c r="D36" s="20" t="inlineStr">
        <is>
          <t>Security</t>
        </is>
      </c>
      <c r="E36" s="17" t="inlineStr">
        <is>
          <t>Scale 0-10</t>
        </is>
      </c>
      <c r="F36" s="18" t="n"/>
      <c r="G36" s="19">
        <f>IF(OR(F36="",NOT(ISNUMBER(F36))),"",IFERROR(VLOOKUP(F36,'Assessment Scale'!$A$3:$C$13,3,FALSE),""))</f>
        <v/>
      </c>
      <c r="H36" s="18" t="n"/>
    </row>
    <row r="37" ht="24" customHeight="1">
      <c r="A37" s="10" t="inlineStr">
        <is>
          <t>Accessibility, Interoperability &amp; Usability — Section weight: 5%</t>
        </is>
      </c>
      <c r="B37" s="11" t="n"/>
      <c r="C37" s="11" t="n"/>
      <c r="D37" s="11" t="n"/>
      <c r="E37" s="11" t="n"/>
      <c r="F37" s="12">
        <f>IFERROR(ROUND(AVERAGE(F38:F40),1),"")</f>
        <v/>
      </c>
      <c r="G37" s="13" t="n">
        <v>0.05</v>
      </c>
      <c r="H37" s="11" t="n"/>
    </row>
    <row r="38">
      <c r="A38" s="14" t="inlineStr">
        <is>
          <t>S4</t>
        </is>
      </c>
      <c r="B38" s="14" t="inlineStr">
        <is>
          <t>Q31</t>
        </is>
      </c>
      <c r="C38" s="15" t="inlineStr">
        <is>
          <t>Does the data architecture align with FAIR principles (Findable, Accessible, Interoperable, Reusable)?</t>
        </is>
      </c>
      <c r="D38" s="16" t="n"/>
      <c r="E38" s="17" t="inlineStr">
        <is>
          <t>Scale 0-10</t>
        </is>
      </c>
      <c r="F38" s="18" t="n"/>
      <c r="G38" s="19">
        <f>IF(OR(F38="",NOT(ISNUMBER(F38))),"",IFERROR(VLOOKUP(F38,'Assessment Scale'!$A$3:$C$13,3,FALSE),""))</f>
        <v/>
      </c>
      <c r="H38" s="18" t="n"/>
    </row>
    <row r="39">
      <c r="A39" s="14" t="inlineStr"/>
      <c r="B39" s="14" t="inlineStr">
        <is>
          <t>Q32</t>
        </is>
      </c>
      <c r="C39" s="15" t="inlineStr">
        <is>
          <t>Are APIs and data-sharing interfaces standards-based and documented, enabling downstream consumption without tight coupling?</t>
        </is>
      </c>
      <c r="D39" s="16" t="n"/>
      <c r="E39" s="17" t="inlineStr">
        <is>
          <t>Scale 0-10</t>
        </is>
      </c>
      <c r="F39" s="18" t="n"/>
      <c r="G39" s="19">
        <f>IF(OR(F39="",NOT(ISNUMBER(F39))),"",IFERROR(VLOOKUP(F39,'Assessment Scale'!$A$3:$C$13,3,FALSE),""))</f>
        <v/>
      </c>
      <c r="H39" s="18" t="n"/>
    </row>
    <row r="40">
      <c r="A40" s="14" t="inlineStr"/>
      <c r="B40" s="14" t="inlineStr">
        <is>
          <t>Q33</t>
        </is>
      </c>
      <c r="C40" s="15" t="inlineStr">
        <is>
          <t>How accessible is data to authorized consumers, including other departments, partners, and (where appropriate) the public?</t>
        </is>
      </c>
      <c r="D40" s="20" t="inlineStr">
        <is>
          <t>Security</t>
        </is>
      </c>
      <c r="E40" s="17" t="inlineStr">
        <is>
          <t>Scale 0-10</t>
        </is>
      </c>
      <c r="F40" s="18" t="n"/>
      <c r="G40" s="19">
        <f>IF(OR(F40="",NOT(ISNUMBER(F40))),"",IFERROR(VLOOKUP(F40,'Assessment Scale'!$A$3:$C$13,3,FALSE),""))</f>
        <v/>
      </c>
      <c r="H40" s="18" t="n"/>
    </row>
    <row r="41" ht="24" customHeight="1">
      <c r="A41" s="10" t="inlineStr">
        <is>
          <t>Governance, Oversight &amp; Accountability — Section weight: 20%</t>
        </is>
      </c>
      <c r="B41" s="11" t="n"/>
      <c r="C41" s="11" t="n"/>
      <c r="D41" s="11" t="n"/>
      <c r="E41" s="11" t="n"/>
      <c r="F41" s="12">
        <f>IFERROR(ROUND(AVERAGE(F42:F47),1),"")</f>
        <v/>
      </c>
      <c r="G41" s="13" t="n">
        <v>0.2</v>
      </c>
      <c r="H41" s="11" t="n"/>
    </row>
    <row r="42">
      <c r="A42" s="14" t="inlineStr">
        <is>
          <t>S5</t>
        </is>
      </c>
      <c r="B42" s="14" t="inlineStr">
        <is>
          <t>Q34</t>
        </is>
      </c>
      <c r="C42" s="15" t="inlineStr">
        <is>
          <t>Is there a designated data owner and data steward for each key dataset, with documented accountability?</t>
        </is>
      </c>
      <c r="D42" s="16" t="n"/>
      <c r="E42" s="17" t="inlineStr">
        <is>
          <t>Scale 0-10</t>
        </is>
      </c>
      <c r="F42" s="18" t="n"/>
      <c r="G42" s="19">
        <f>IF(OR(F42="",NOT(ISNUMBER(F42))),"",IFERROR(VLOOKUP(F42,'Assessment Scale'!$A$3:$C$13,3,FALSE),""))</f>
        <v/>
      </c>
      <c r="H42" s="18" t="n"/>
    </row>
    <row r="43">
      <c r="A43" s="14" t="inlineStr"/>
      <c r="B43" s="14" t="inlineStr">
        <is>
          <t>Q35</t>
        </is>
      </c>
      <c r="C43" s="15" t="inlineStr">
        <is>
          <t>How mature is the data governance framework — does it cover policies, standards, roles, dispute resolution, and enforcement?</t>
        </is>
      </c>
      <c r="D43" s="16" t="n"/>
      <c r="E43" s="17" t="inlineStr">
        <is>
          <t>Scale 0-10</t>
        </is>
      </c>
      <c r="F43" s="18" t="n"/>
      <c r="G43" s="19">
        <f>IF(OR(F43="",NOT(ISNUMBER(F43))),"",IFERROR(VLOOKUP(F43,'Assessment Scale'!$A$3:$C$13,3,FALSE),""))</f>
        <v/>
      </c>
      <c r="H43" s="18" t="n"/>
    </row>
    <row r="44">
      <c r="A44" s="14" t="inlineStr"/>
      <c r="B44" s="14" t="inlineStr">
        <is>
          <t>Q36</t>
        </is>
      </c>
      <c r="C44" s="15" t="inlineStr">
        <is>
          <t>Are data governance decisions transparent and auditable, including any changes to data models, access rules, or classifications?</t>
        </is>
      </c>
      <c r="D44" s="16" t="n"/>
      <c r="E44" s="17" t="inlineStr">
        <is>
          <t>Scale 0-10</t>
        </is>
      </c>
      <c r="F44" s="18" t="n"/>
      <c r="G44" s="19">
        <f>IF(OR(F44="",NOT(ISNUMBER(F44))),"",IFERROR(VLOOKUP(F44,'Assessment Scale'!$A$3:$C$13,3,FALSE),""))</f>
        <v/>
      </c>
      <c r="H44" s="18" t="n"/>
    </row>
    <row r="45">
      <c r="A45" s="14" t="inlineStr"/>
      <c r="B45" s="14" t="inlineStr">
        <is>
          <t>Q37</t>
        </is>
      </c>
      <c r="C45" s="15" t="inlineStr">
        <is>
          <t>Is there a process to ensure data governance keeps pace with legislative changes (Privacy Act, Access to Information, Bill C-27)?</t>
        </is>
      </c>
      <c r="D45" s="20" t="inlineStr">
        <is>
          <t>Privacy</t>
        </is>
      </c>
      <c r="E45" s="17" t="inlineStr">
        <is>
          <t>Scale 0-10</t>
        </is>
      </c>
      <c r="F45" s="18" t="n"/>
      <c r="G45" s="19">
        <f>IF(OR(F45="",NOT(ISNUMBER(F45))),"",IFERROR(VLOOKUP(F45,'Assessment Scale'!$A$3:$C$13,3,FALSE),""))</f>
        <v/>
      </c>
      <c r="H45" s="18" t="n"/>
    </row>
    <row r="46">
      <c r="A46" s="14" t="inlineStr"/>
      <c r="B46" s="14" t="inlineStr">
        <is>
          <t>Q38</t>
        </is>
      </c>
      <c r="C46" s="15" t="inlineStr">
        <is>
          <t>How well is data quality monitored, reported on, and escalated when thresholds are breached?</t>
        </is>
      </c>
      <c r="D46" s="20" t="inlineStr">
        <is>
          <t>Security</t>
        </is>
      </c>
      <c r="E46" s="17" t="inlineStr">
        <is>
          <t>Scale 0-10</t>
        </is>
      </c>
      <c r="F46" s="18" t="n"/>
      <c r="G46" s="19">
        <f>IF(OR(F46="",NOT(ISNUMBER(F46))),"",IFERROR(VLOOKUP(F46,'Assessment Scale'!$A$3:$C$13,3,FALSE),""))</f>
        <v/>
      </c>
      <c r="H46" s="18" t="n"/>
    </row>
    <row r="47">
      <c r="A47" s="14" t="inlineStr"/>
      <c r="B47" s="14" t="inlineStr">
        <is>
          <t>Q39</t>
        </is>
      </c>
      <c r="C47" s="15" t="inlineStr">
        <is>
          <t>Is there a regular data audit process to validate compliance with policies, identify orphaned data, and assess data health?</t>
        </is>
      </c>
      <c r="D47" s="16" t="n"/>
      <c r="E47" s="17" t="inlineStr">
        <is>
          <t>Scale 0-10</t>
        </is>
      </c>
      <c r="F47" s="18" t="n"/>
      <c r="G47" s="19">
        <f>IF(OR(F47="",NOT(ISNUMBER(F47))),"",IFERROR(VLOOKUP(F47,'Assessment Scale'!$A$3:$C$13,3,FALSE),""))</f>
        <v/>
      </c>
      <c r="H47" s="18" t="n"/>
    </row>
    <row r="49">
      <c r="A49" s="22" t="inlineStr">
        <is>
          <t>Domain score, weighted across the sections answered</t>
        </is>
      </c>
      <c r="B49" s="23" t="n"/>
      <c r="C49" s="23" t="n"/>
      <c r="D49" s="23" t="n"/>
      <c r="E49" s="23" t="n"/>
      <c r="F49" s="24">
        <f>IFERROR(ROUND((N(F4)*N(G4)+N(F14)*N(G14)+N(F27)*N(G27)+N(F37)*N(G37)+N(F41)*N(G41))/((F4&lt;&gt;"")*N(G4)+(F14&lt;&gt;"")*N(G14)+(F27&lt;&gt;"")*N(G27)+(F37&lt;&gt;"")*N(G37)+(F41&lt;&gt;"")*N(G41)),1),"")</f>
        <v/>
      </c>
      <c r="G49" s="25" t="inlineStr">
        <is>
          <t>out of 10</t>
        </is>
      </c>
      <c r="H49" s="23" t="n"/>
    </row>
  </sheetData>
  <mergeCells count="8">
    <mergeCell ref="A1:H1"/>
    <mergeCell ref="A4:E4"/>
    <mergeCell ref="A2:H2"/>
    <mergeCell ref="A41:E41"/>
    <mergeCell ref="A49:E49"/>
    <mergeCell ref="A37:E37"/>
    <mergeCell ref="A14:E14"/>
    <mergeCell ref="A27:E27"/>
  </mergeCells>
  <dataValidations count="3">
    <dataValidation sqref="D4:D47" showDropDown="0" showInputMessage="0" showErrorMessage="1" allowBlank="1" promptTitle="What else is it about?" prompt="The subjects this question is also about, beyond its own domain. Tick as many as apply. Leave it empty when there are none." type="list">
      <formula1>"Security,Privacy,Financial,Accessibility,Official Languages"</formula1>
    </dataValidation>
    <dataValidation sqref="E4:E47" showDropDown="0" showInputMessage="0" showErrorMessage="1" allowBlank="1" promptTitle="Scale or yes-or-no?" prompt="How this question is answered. Ours, and provisional: change it if it reads wrong." type="list">
      <formula1>"Scale 0-10,Yes / No"</formula1>
    </dataValidation>
    <dataValidation sqref="F4:F47" showDropDown="0" showInputMessage="0" showErrorMessage="1" allowBlank="1" promptTitle="The answer" prompt="A maturity score from 0 to 10, or Yes or No for a question that reads as one, or N/A when the question does not apply." type="list">
      <formula1>"0,1,2,3,4,5,6,7,8,9,10,Yes,No,N/A"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6"/>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6" customWidth="1" min="2" max="2"/>
    <col width="58" customWidth="1" min="3" max="3"/>
    <col width="30" customWidth="1" min="4" max="4"/>
    <col width="13" customWidth="1" min="5" max="5"/>
    <col width="11" customWidth="1" min="6" max="6"/>
    <col width="15" customWidth="1" min="7" max="7"/>
    <col width="30" customWidth="1" min="8" max="8"/>
  </cols>
  <sheetData>
    <row r="1" ht="30" customHeight="1">
      <c r="A1" s="6" t="inlineStr">
        <is>
          <t>Application &amp; Virtual Architecture  ·  Designing agile, scalable application ecosystems</t>
        </is>
      </c>
    </row>
    <row r="2">
      <c r="A2" s="7" t="inlineStr">
        <is>
          <t xml:space="preserve">   Overall weight in GC EA score: 25%</t>
        </is>
      </c>
    </row>
    <row r="3" ht="30" customHeight="1">
      <c r="A3" s="8" t="inlineStr">
        <is>
          <t>#</t>
        </is>
      </c>
      <c r="B3" s="8" t="inlineStr">
        <is>
          <t>Q#</t>
        </is>
      </c>
      <c r="C3" s="8" t="inlineStr">
        <is>
          <t>Assessment Question</t>
        </is>
      </c>
      <c r="D3" s="9" t="inlineStr">
        <is>
          <t>Categories</t>
        </is>
      </c>
      <c r="E3" s="9" t="inlineStr">
        <is>
          <t>Answer type</t>
        </is>
      </c>
      <c r="F3" s="9" t="inlineStr">
        <is>
          <t>Answer</t>
        </is>
      </c>
      <c r="G3" s="9" t="inlineStr">
        <is>
          <t>Maturity Label</t>
        </is>
      </c>
      <c r="H3" s="9" t="inlineStr">
        <is>
          <t>Notes / Evidence</t>
        </is>
      </c>
    </row>
    <row r="4" ht="24" customHeight="1">
      <c r="A4" s="10" t="inlineStr">
        <is>
          <t>Defining the Current State — Section weight: 10%</t>
        </is>
      </c>
      <c r="B4" s="11" t="n"/>
      <c r="C4" s="11" t="n"/>
      <c r="D4" s="11" t="n"/>
      <c r="E4" s="11" t="n"/>
      <c r="F4" s="12">
        <f>IFERROR(ROUND(AVERAGE(F5:F13),1),"")</f>
        <v/>
      </c>
      <c r="G4" s="13" t="n">
        <v>0.1</v>
      </c>
      <c r="H4" s="11" t="n"/>
    </row>
    <row r="5">
      <c r="A5" s="14" t="inlineStr">
        <is>
          <t>S1</t>
        </is>
      </c>
      <c r="B5" s="14" t="inlineStr">
        <is>
          <t>Q1</t>
        </is>
      </c>
      <c r="C5" s="15" t="inlineStr">
        <is>
          <t>Is the current application solution fully documented, including architecture diagrams, data flows, and integration points?</t>
        </is>
      </c>
      <c r="D5" s="16" t="n"/>
      <c r="E5" s="17" t="inlineStr">
        <is>
          <t>Scale 0-10</t>
        </is>
      </c>
      <c r="F5" s="18" t="n"/>
      <c r="G5" s="19">
        <f>IF(OR(F5="",NOT(ISNUMBER(F5))),"",IFERROR(VLOOKUP(F5,'Assessment Scale'!$A$3:$C$13,3,FALSE),""))</f>
        <v/>
      </c>
      <c r="H5" s="18" t="n"/>
    </row>
    <row r="6">
      <c r="A6" s="14" t="inlineStr"/>
      <c r="B6" s="14" t="inlineStr">
        <is>
          <t>Q2</t>
        </is>
      </c>
      <c r="C6" s="15" t="inlineStr">
        <is>
          <t>How well is the current system instrumented — are resource allocation, consumption, and application health monitored?</t>
        </is>
      </c>
      <c r="D6" s="16" t="n"/>
      <c r="E6" s="17" t="inlineStr">
        <is>
          <t>Scale 0-10</t>
        </is>
      </c>
      <c r="F6" s="18" t="n"/>
      <c r="G6" s="19">
        <f>IF(OR(F6="",NOT(ISNUMBER(F6))),"",IFERROR(VLOOKUP(F6,'Assessment Scale'!$A$3:$C$13,3,FALSE),""))</f>
        <v/>
      </c>
      <c r="H6" s="18" t="n"/>
    </row>
    <row r="7">
      <c r="A7" s="14" t="inlineStr"/>
      <c r="B7" s="14" t="inlineStr">
        <is>
          <t>Q3</t>
        </is>
      </c>
      <c r="C7" s="15" t="inlineStr">
        <is>
          <t>What is the outstanding technical debt, and is it formally tracked in a backlog with prioritization?</t>
        </is>
      </c>
      <c r="D7" s="16" t="n"/>
      <c r="E7" s="17" t="inlineStr">
        <is>
          <t>Scale 0-10</t>
        </is>
      </c>
      <c r="F7" s="18" t="n"/>
      <c r="G7" s="19">
        <f>IF(OR(F7="",NOT(ISNUMBER(F7))),"",IFERROR(VLOOKUP(F7,'Assessment Scale'!$A$3:$C$13,3,FALSE),""))</f>
        <v/>
      </c>
      <c r="H7" s="18" t="n"/>
    </row>
    <row r="8">
      <c r="A8" s="14" t="inlineStr"/>
      <c r="B8" s="14" t="inlineStr">
        <is>
          <t>Q4</t>
        </is>
      </c>
      <c r="C8" s="15" t="inlineStr">
        <is>
          <t>When are major software contracts expiring, and is there a renewal or replacement strategy in place?</t>
        </is>
      </c>
      <c r="D8" s="16" t="n"/>
      <c r="E8" s="17" t="inlineStr">
        <is>
          <t>Scale 0-10</t>
        </is>
      </c>
      <c r="F8" s="18" t="n"/>
      <c r="G8" s="19">
        <f>IF(OR(F8="",NOT(ISNUMBER(F8))),"",IFERROR(VLOOKUP(F8,'Assessment Scale'!$A$3:$C$13,3,FALSE),""))</f>
        <v/>
      </c>
      <c r="H8" s="18" t="n"/>
    </row>
    <row r="9">
      <c r="A9" s="14" t="inlineStr"/>
      <c r="B9" s="14" t="inlineStr">
        <is>
          <t>Q5</t>
        </is>
      </c>
      <c r="C9" s="15" t="inlineStr">
        <is>
          <t>What known security vulnerabilities exist in the current solution, and what is the remediation status?</t>
        </is>
      </c>
      <c r="D9" s="20" t="inlineStr">
        <is>
          <t>Security</t>
        </is>
      </c>
      <c r="E9" s="17" t="inlineStr">
        <is>
          <t>Scale 0-10</t>
        </is>
      </c>
      <c r="F9" s="18" t="n"/>
      <c r="G9" s="19">
        <f>IF(OR(F9="",NOT(ISNUMBER(F9))),"",IFERROR(VLOOKUP(F9,'Assessment Scale'!$A$3:$C$13,3,FALSE),""))</f>
        <v/>
      </c>
      <c r="H9" s="18" t="n"/>
    </row>
    <row r="10">
      <c r="A10" s="14" t="inlineStr"/>
      <c r="B10" s="14" t="inlineStr">
        <is>
          <t>Q6</t>
        </is>
      </c>
      <c r="C10" s="15" t="inlineStr">
        <is>
          <t>How well understood are the delivery pipeline properties — maturity, automation, deployment frequency, and failure rate?</t>
        </is>
      </c>
      <c r="D10" s="16" t="n"/>
      <c r="E10" s="17" t="inlineStr">
        <is>
          <t>Scale 0-10</t>
        </is>
      </c>
      <c r="F10" s="18" t="n"/>
      <c r="G10" s="19">
        <f>IF(OR(F10="",NOT(ISNUMBER(F10))),"",IFERROR(VLOOKUP(F10,'Assessment Scale'!$A$3:$C$13,3,FALSE),""))</f>
        <v/>
      </c>
      <c r="H10" s="18" t="n"/>
    </row>
    <row r="11">
      <c r="A11" s="14" t="inlineStr"/>
      <c r="B11" s="14" t="inlineStr">
        <is>
          <t>Q7</t>
        </is>
      </c>
      <c r="C11" s="15" t="inlineStr">
        <is>
          <t>What is the degree of vendor or technology lock-in, and are exit/migration pathways understood?</t>
        </is>
      </c>
      <c r="D11" s="16" t="n"/>
      <c r="E11" s="17" t="inlineStr">
        <is>
          <t>Scale 0-10</t>
        </is>
      </c>
      <c r="F11" s="18" t="n"/>
      <c r="G11" s="19">
        <f>IF(OR(F11="",NOT(ISNUMBER(F11))),"",IFERROR(VLOOKUP(F11,'Assessment Scale'!$A$3:$C$13,3,FALSE),""))</f>
        <v/>
      </c>
      <c r="H11" s="18" t="n"/>
    </row>
    <row r="12">
      <c r="A12" s="14" t="inlineStr"/>
      <c r="B12" s="14" t="inlineStr">
        <is>
          <t>Q8</t>
        </is>
      </c>
      <c r="C12" s="15" t="inlineStr">
        <is>
          <t>Are all upstream and downstream application dependencies mapped and current?</t>
        </is>
      </c>
      <c r="D12" s="16" t="n"/>
      <c r="E12" s="17" t="inlineStr">
        <is>
          <t>Scale 0-10</t>
        </is>
      </c>
      <c r="F12" s="18" t="n"/>
      <c r="G12" s="19">
        <f>IF(OR(F12="",NOT(ISNUMBER(F12))),"",IFERROR(VLOOKUP(F12,'Assessment Scale'!$A$3:$C$13,3,FALSE),""))</f>
        <v/>
      </c>
      <c r="H12" s="18" t="n"/>
    </row>
    <row r="13">
      <c r="A13" s="14" t="inlineStr"/>
      <c r="B13" s="14" t="inlineStr">
        <is>
          <t>Q9</t>
        </is>
      </c>
      <c r="C13" s="15" t="inlineStr">
        <is>
          <t>What is the known backlog of defects, flaws, and unresolved issues, and how is it managed?</t>
        </is>
      </c>
      <c r="D13" s="16" t="n"/>
      <c r="E13" s="17" t="inlineStr">
        <is>
          <t>Scale 0-10</t>
        </is>
      </c>
      <c r="F13" s="18" t="n"/>
      <c r="G13" s="19">
        <f>IF(OR(F13="",NOT(ISNUMBER(F13))),"",IFERROR(VLOOKUP(F13,'Assessment Scale'!$A$3:$C$13,3,FALSE),""))</f>
        <v/>
      </c>
      <c r="H13" s="18" t="n"/>
    </row>
    <row r="14" ht="24" customHeight="1">
      <c r="A14" s="10" t="inlineStr">
        <is>
          <t>Application Architecture &amp; Build Approach — Section weight: 20%</t>
        </is>
      </c>
      <c r="B14" s="11" t="n"/>
      <c r="C14" s="11" t="n"/>
      <c r="D14" s="11" t="n"/>
      <c r="E14" s="11" t="n"/>
      <c r="F14" s="12">
        <f>IFERROR(ROUND(AVERAGE(F15:F24),1),"")</f>
        <v/>
      </c>
      <c r="G14" s="13" t="n">
        <v>0.2</v>
      </c>
      <c r="H14" s="11" t="n"/>
    </row>
    <row r="15">
      <c r="A15" s="14" t="inlineStr">
        <is>
          <t>S2</t>
        </is>
      </c>
      <c r="B15" s="14" t="inlineStr">
        <is>
          <t>Q10</t>
        </is>
      </c>
      <c r="C15" s="15" t="inlineStr">
        <is>
          <t>Is the application type (COTS, configured, custom-built, low/no-code, assembled) clearly defined and justified?</t>
        </is>
      </c>
      <c r="D15" s="16" t="n"/>
      <c r="E15" s="17" t="inlineStr">
        <is>
          <t>Scale 0-10</t>
        </is>
      </c>
      <c r="F15" s="18" t="n"/>
      <c r="G15" s="19">
        <f>IF(OR(F15="",NOT(ISNUMBER(F15))),"",IFERROR(VLOOKUP(F15,'Assessment Scale'!$A$3:$C$13,3,FALSE),""))</f>
        <v/>
      </c>
      <c r="H15" s="18" t="n"/>
    </row>
    <row r="16">
      <c r="A16" s="14" t="inlineStr"/>
      <c r="B16" s="14" t="inlineStr">
        <is>
          <t>Q11</t>
        </is>
      </c>
      <c r="C16" s="15" t="inlineStr">
        <is>
          <t>Is the delivery methodology (agile, waterfall, hybrid) appropriate to the solution's context and documented?</t>
        </is>
      </c>
      <c r="D16" s="16" t="n"/>
      <c r="E16" s="17" t="inlineStr">
        <is>
          <t>Scale 0-10</t>
        </is>
      </c>
      <c r="F16" s="18" t="n"/>
      <c r="G16" s="19">
        <f>IF(OR(F16="",NOT(ISNUMBER(F16))),"",IFERROR(VLOOKUP(F16,'Assessment Scale'!$A$3:$C$13,3,FALSE),""))</f>
        <v/>
      </c>
      <c r="H16" s="18" t="n"/>
    </row>
    <row r="17">
      <c r="A17" s="14" t="inlineStr"/>
      <c r="B17" s="14" t="inlineStr">
        <is>
          <t>Q12</t>
        </is>
      </c>
      <c r="C17" s="15" t="inlineStr">
        <is>
          <t>How software-defined is the solution — are configuration, policy, and infrastructure managed as code?</t>
        </is>
      </c>
      <c r="D17" s="16" t="n"/>
      <c r="E17" s="17" t="inlineStr">
        <is>
          <t>Scale 0-10</t>
        </is>
      </c>
      <c r="F17" s="18" t="n"/>
      <c r="G17" s="19">
        <f>IF(OR(F17="",NOT(ISNUMBER(F17))),"",IFERROR(VLOOKUP(F17,'Assessment Scale'!$A$3:$C$13,3,FALSE),""))</f>
        <v/>
      </c>
      <c r="H17" s="18" t="n"/>
    </row>
    <row r="18">
      <c r="A18" s="14" t="inlineStr"/>
      <c r="B18" s="14" t="inlineStr">
        <is>
          <t>Q13</t>
        </is>
      </c>
      <c r="C18" s="15" t="inlineStr">
        <is>
          <t>Is the application designed with capabilities-based modularity, enabling components to be replaced independently?</t>
        </is>
      </c>
      <c r="D18" s="16" t="n"/>
      <c r="E18" s="17" t="inlineStr">
        <is>
          <t>Scale 0-10</t>
        </is>
      </c>
      <c r="F18" s="18" t="n"/>
      <c r="G18" s="19">
        <f>IF(OR(F18="",NOT(ISNUMBER(F18))),"",IFERROR(VLOOKUP(F18,'Assessment Scale'!$A$3:$C$13,3,FALSE),""))</f>
        <v/>
      </c>
      <c r="H18" s="18" t="n"/>
    </row>
    <row r="19">
      <c r="A19" s="14" t="inlineStr"/>
      <c r="B19" s="14" t="inlineStr">
        <is>
          <t>Q14</t>
        </is>
      </c>
      <c r="C19" s="15" t="inlineStr">
        <is>
          <t>How are interoperability interfaces between internal components and external applications exposed and governed?</t>
        </is>
      </c>
      <c r="D19" s="16" t="n"/>
      <c r="E19" s="17" t="inlineStr">
        <is>
          <t>Scale 0-10</t>
        </is>
      </c>
      <c r="F19" s="18" t="n"/>
      <c r="G19" s="19">
        <f>IF(OR(F19="",NOT(ISNUMBER(F19))),"",IFERROR(VLOOKUP(F19,'Assessment Scale'!$A$3:$C$13,3,FALSE),""))</f>
        <v/>
      </c>
      <c r="H19" s="18" t="n"/>
    </row>
    <row r="20">
      <c r="A20" s="14" t="inlineStr"/>
      <c r="B20" s="14" t="inlineStr">
        <is>
          <t>Q15</t>
        </is>
      </c>
      <c r="C20" s="15" t="inlineStr">
        <is>
          <t>Is intellectual property ownership clear, and are code licensing obligations tracked and managed?</t>
        </is>
      </c>
      <c r="D20" s="16" t="n"/>
      <c r="E20" s="17" t="inlineStr">
        <is>
          <t>Scale 0-10</t>
        </is>
      </c>
      <c r="F20" s="18" t="n"/>
      <c r="G20" s="19">
        <f>IF(OR(F20="",NOT(ISNUMBER(F20))),"",IFERROR(VLOOKUP(F20,'Assessment Scale'!$A$3:$C$13,3,FALSE),""))</f>
        <v/>
      </c>
      <c r="H20" s="18" t="n"/>
    </row>
    <row r="21">
      <c r="A21" s="14" t="inlineStr"/>
      <c r="B21" s="14" t="inlineStr">
        <is>
          <t>Q16</t>
        </is>
      </c>
      <c r="C21" s="15" t="inlineStr">
        <is>
          <t>How mature is code reuse — is there a shared code repository, automated integration, and published component catalogue?</t>
        </is>
      </c>
      <c r="D21" s="16" t="n"/>
      <c r="E21" s="17" t="inlineStr">
        <is>
          <t>Scale 0-10</t>
        </is>
      </c>
      <c r="F21" s="18" t="n"/>
      <c r="G21" s="19">
        <f>IF(OR(F21="",NOT(ISNUMBER(F21))),"",IFERROR(VLOOKUP(F21,'Assessment Scale'!$A$3:$C$13,3,FALSE),""))</f>
        <v/>
      </c>
      <c r="H21" s="18" t="n"/>
    </row>
    <row r="22">
      <c r="A22" s="14" t="inlineStr"/>
      <c r="B22" s="14" t="inlineStr">
        <is>
          <t>Q17</t>
        </is>
      </c>
      <c r="C22" s="15" t="inlineStr">
        <is>
          <t>What is the lowest required integration level (container, VM/OS, physical hardware), and is it minimized where possible?</t>
        </is>
      </c>
      <c r="D22" s="16" t="n"/>
      <c r="E22" s="17" t="inlineStr">
        <is>
          <t>Scale 0-10</t>
        </is>
      </c>
      <c r="F22" s="18" t="n"/>
      <c r="G22" s="19">
        <f>IF(OR(F22="",NOT(ISNUMBER(F22))),"",IFERROR(VLOOKUP(F22,'Assessment Scale'!$A$3:$C$13,3,FALSE),""))</f>
        <v/>
      </c>
      <c r="H22" s="18" t="n"/>
    </row>
    <row r="23">
      <c r="A23" s="14" t="inlineStr"/>
      <c r="B23" s="14" t="inlineStr">
        <is>
          <t>Q18</t>
        </is>
      </c>
      <c r="C23" s="15" t="inlineStr">
        <is>
          <t>Are volume, redundancy, elasticity, scalability, throttling, and observability requirements defined and implemented?</t>
        </is>
      </c>
      <c r="D23" s="16" t="n"/>
      <c r="E23" s="17" t="inlineStr">
        <is>
          <t>Scale 0-10</t>
        </is>
      </c>
      <c r="F23" s="18" t="n"/>
      <c r="G23" s="19">
        <f>IF(OR(F23="",NOT(ISNUMBER(F23))),"",IFERROR(VLOOKUP(F23,'Assessment Scale'!$A$3:$C$13,3,FALSE),""))</f>
        <v/>
      </c>
      <c r="H23" s="18" t="n"/>
    </row>
    <row r="24">
      <c r="A24" s="14" t="inlineStr"/>
      <c r="B24" s="14" t="inlineStr">
        <is>
          <t>Q19</t>
        </is>
      </c>
      <c r="C24" s="15" t="inlineStr">
        <is>
          <t>Is the application designed as external-facing, internal enterprise, or administrative — and is the design tailored accordingly?</t>
        </is>
      </c>
      <c r="D24" s="16" t="n"/>
      <c r="E24" s="17" t="inlineStr">
        <is>
          <t>Scale 0-10</t>
        </is>
      </c>
      <c r="F24" s="18" t="n"/>
      <c r="G24" s="19">
        <f>IF(OR(F24="",NOT(ISNUMBER(F24))),"",IFERROR(VLOOKUP(F24,'Assessment Scale'!$A$3:$C$13,3,FALSE),""))</f>
        <v/>
      </c>
      <c r="H24" s="18" t="n"/>
    </row>
    <row r="25" ht="24" customHeight="1">
      <c r="A25" s="10" t="inlineStr">
        <is>
          <t>Engineering Practices &amp; Frameworks — Section weight: 20%</t>
        </is>
      </c>
      <c r="B25" s="11" t="n"/>
      <c r="C25" s="11" t="n"/>
      <c r="D25" s="11" t="n"/>
      <c r="E25" s="11" t="n"/>
      <c r="F25" s="12">
        <f>IFERROR(ROUND(AVERAGE(F26:F33),1),"")</f>
        <v/>
      </c>
      <c r="G25" s="13" t="n">
        <v>0.2</v>
      </c>
      <c r="H25" s="11" t="n"/>
    </row>
    <row r="26">
      <c r="A26" s="14" t="inlineStr">
        <is>
          <t>S3</t>
        </is>
      </c>
      <c r="B26" s="14" t="inlineStr">
        <is>
          <t>Q20</t>
        </is>
      </c>
      <c r="C26" s="15" t="inlineStr">
        <is>
          <t>How mature is the DevSecOps pipeline — including continuous integration, continuous deployment, automated testing, and security gates?</t>
        </is>
      </c>
      <c r="D26" s="20" t="inlineStr">
        <is>
          <t>Security</t>
        </is>
      </c>
      <c r="E26" s="17" t="inlineStr">
        <is>
          <t>Scale 0-10</t>
        </is>
      </c>
      <c r="F26" s="18" t="n"/>
      <c r="G26" s="19">
        <f>IF(OR(F26="",NOT(ISNUMBER(F26))),"",IFERROR(VLOOKUP(F26,'Assessment Scale'!$A$3:$C$13,3,FALSE),""))</f>
        <v/>
      </c>
      <c r="H26" s="18" t="n"/>
    </row>
    <row r="27">
      <c r="A27" s="14" t="inlineStr"/>
      <c r="B27" s="14" t="inlineStr">
        <is>
          <t>Q21</t>
        </is>
      </c>
      <c r="C27" s="15" t="inlineStr">
        <is>
          <t>Is test coverage defined, measured, and enforced — including unit, integration, regression, performance, and security testing?</t>
        </is>
      </c>
      <c r="D27" s="20" t="inlineStr">
        <is>
          <t>Security</t>
        </is>
      </c>
      <c r="E27" s="17" t="inlineStr">
        <is>
          <t>Scale 0-10</t>
        </is>
      </c>
      <c r="F27" s="18" t="n"/>
      <c r="G27" s="19">
        <f>IF(OR(F27="",NOT(ISNUMBER(F27))),"",IFERROR(VLOOKUP(F27,'Assessment Scale'!$A$3:$C$13,3,FALSE),""))</f>
        <v/>
      </c>
      <c r="H27" s="18" t="n"/>
    </row>
    <row r="28">
      <c r="A28" s="14" t="inlineStr"/>
      <c r="B28" s="14" t="inlineStr">
        <is>
          <t>Q22</t>
        </is>
      </c>
      <c r="C28" s="15" t="inlineStr">
        <is>
          <t>How well are coding standards, frameworks, and languages documented, enforced, and aligned with GC guidance?</t>
        </is>
      </c>
      <c r="D28" s="16" t="n"/>
      <c r="E28" s="17" t="inlineStr">
        <is>
          <t>Scale 0-10</t>
        </is>
      </c>
      <c r="F28" s="18" t="n"/>
      <c r="G28" s="19">
        <f>IF(OR(F28="",NOT(ISNUMBER(F28))),"",IFERROR(VLOOKUP(F28,'Assessment Scale'!$A$3:$C$13,3,FALSE),""))</f>
        <v/>
      </c>
      <c r="H28" s="18" t="n"/>
    </row>
    <row r="29">
      <c r="A29" s="14" t="inlineStr"/>
      <c r="B29" s="14" t="inlineStr">
        <is>
          <t>Q23</t>
        </is>
      </c>
      <c r="C29" s="15" t="inlineStr">
        <is>
          <t>Are accessibility standards (WCAG 2.1 AA or equivalent) embedded in the development and QA process?</t>
        </is>
      </c>
      <c r="D29" s="20" t="inlineStr">
        <is>
          <t>Accessibility</t>
        </is>
      </c>
      <c r="E29" s="21" t="inlineStr">
        <is>
          <t>Yes / No</t>
        </is>
      </c>
      <c r="F29" s="18" t="n"/>
      <c r="G29" s="19">
        <f>IF(OR(F29="",NOT(ISNUMBER(F29))),"",IFERROR(VLOOKUP(F29,'Assessment Scale'!$A$3:$C$13,3,FALSE),""))</f>
        <v/>
      </c>
      <c r="H29" s="18" t="n"/>
    </row>
    <row r="30">
      <c r="A30" s="14" t="inlineStr"/>
      <c r="B30" s="14" t="inlineStr">
        <is>
          <t>Q24</t>
        </is>
      </c>
      <c r="C30" s="15" t="inlineStr">
        <is>
          <t>Is there an algorithmic impact assessment (AIA) process in place for any AI/ML components in the application?</t>
        </is>
      </c>
      <c r="D30" s="16" t="n"/>
      <c r="E30" s="21" t="inlineStr">
        <is>
          <t>Yes / No</t>
        </is>
      </c>
      <c r="F30" s="18" t="n"/>
      <c r="G30" s="19">
        <f>IF(OR(F30="",NOT(ISNUMBER(F30))),"",IFERROR(VLOOKUP(F30,'Assessment Scale'!$A$3:$C$13,3,FALSE),""))</f>
        <v/>
      </c>
      <c r="H30" s="18" t="n"/>
    </row>
    <row r="31">
      <c r="A31" s="14" t="inlineStr"/>
      <c r="B31" s="14" t="inlineStr">
        <is>
          <t>Q25</t>
        </is>
      </c>
      <c r="C31" s="15" t="inlineStr">
        <is>
          <t>How mature is the code review and peer review process, and is it consistently applied?</t>
        </is>
      </c>
      <c r="D31" s="16" t="n"/>
      <c r="E31" s="17" t="inlineStr">
        <is>
          <t>Scale 0-10</t>
        </is>
      </c>
      <c r="F31" s="18" t="n"/>
      <c r="G31" s="19">
        <f>IF(OR(F31="",NOT(ISNUMBER(F31))),"",IFERROR(VLOOKUP(F31,'Assessment Scale'!$A$3:$C$13,3,FALSE),""))</f>
        <v/>
      </c>
      <c r="H31" s="18" t="n"/>
    </row>
    <row r="32">
      <c r="A32" s="14" t="inlineStr"/>
      <c r="B32" s="14" t="inlineStr">
        <is>
          <t>Q26</t>
        </is>
      </c>
      <c r="C32" s="15" t="inlineStr">
        <is>
          <t>Are application performance benchmarks established, tested against in CI/CD, and used to gate deployments?</t>
        </is>
      </c>
      <c r="D32" s="16" t="n"/>
      <c r="E32" s="17" t="inlineStr">
        <is>
          <t>Scale 0-10</t>
        </is>
      </c>
      <c r="F32" s="18" t="n"/>
      <c r="G32" s="19">
        <f>IF(OR(F32="",NOT(ISNUMBER(F32))),"",IFERROR(VLOOKUP(F32,'Assessment Scale'!$A$3:$C$13,3,FALSE),""))</f>
        <v/>
      </c>
      <c r="H32" s="18" t="n"/>
    </row>
    <row r="33">
      <c r="A33" s="14" t="inlineStr"/>
      <c r="B33" s="14" t="inlineStr">
        <is>
          <t>Q27</t>
        </is>
      </c>
      <c r="C33" s="15" t="inlineStr">
        <is>
          <t>Is observability (logging, tracing, metrics) built into the application architecture from the start?</t>
        </is>
      </c>
      <c r="D33" s="16" t="n"/>
      <c r="E33" s="17" t="inlineStr">
        <is>
          <t>Scale 0-10</t>
        </is>
      </c>
      <c r="F33" s="18" t="n"/>
      <c r="G33" s="19">
        <f>IF(OR(F33="",NOT(ISNUMBER(F33))),"",IFERROR(VLOOKUP(F33,'Assessment Scale'!$A$3:$C$13,3,FALSE),""))</f>
        <v/>
      </c>
      <c r="H33" s="18" t="n"/>
    </row>
    <row r="34" ht="24" customHeight="1">
      <c r="A34" s="10" t="inlineStr">
        <is>
          <t>Solution Options &amp; Ecosystem Strategy — Section weight: 50%</t>
        </is>
      </c>
      <c r="B34" s="11" t="n"/>
      <c r="C34" s="11" t="n"/>
      <c r="D34" s="11" t="n"/>
      <c r="E34" s="11" t="n"/>
      <c r="F34" s="12">
        <f>IFERROR(ROUND(AVERAGE(F35:F44),1),"")</f>
        <v/>
      </c>
      <c r="G34" s="13" t="n">
        <v>0.5</v>
      </c>
      <c r="H34" s="11" t="n"/>
    </row>
    <row r="35">
      <c r="A35" s="14" t="inlineStr">
        <is>
          <t>S4</t>
        </is>
      </c>
      <c r="B35" s="14" t="inlineStr">
        <is>
          <t>Q28</t>
        </is>
      </c>
      <c r="C35" s="15" t="inlineStr">
        <is>
          <t>Has a multi-disciplinary team — including business, security, privacy, data, and technology — been engaged in solution design?</t>
        </is>
      </c>
      <c r="D35" s="20" t="inlineStr">
        <is>
          <t>Security, Privacy</t>
        </is>
      </c>
      <c r="E35" s="17" t="inlineStr">
        <is>
          <t>Scale 0-10</t>
        </is>
      </c>
      <c r="F35" s="18" t="n"/>
      <c r="G35" s="19">
        <f>IF(OR(F35="",NOT(ISNUMBER(F35))),"",IFERROR(VLOOKUP(F35,'Assessment Scale'!$A$3:$C$13,3,FALSE),""))</f>
        <v/>
      </c>
      <c r="H35" s="18" t="n"/>
    </row>
    <row r="36">
      <c r="A36" s="14" t="inlineStr"/>
      <c r="B36" s="14" t="inlineStr">
        <is>
          <t>Q29</t>
        </is>
      </c>
      <c r="C36" s="15" t="inlineStr">
        <is>
          <t>Were enterprise contracts and procurement pathways (GC-wide standing offers, task authorizations) explored before custom sourcing?</t>
        </is>
      </c>
      <c r="D36" s="20" t="inlineStr">
        <is>
          <t>Security</t>
        </is>
      </c>
      <c r="E36" s="17" t="inlineStr">
        <is>
          <t>Scale 0-10</t>
        </is>
      </c>
      <c r="F36" s="18" t="n"/>
      <c r="G36" s="19">
        <f>IF(OR(F36="",NOT(ISNUMBER(F36))),"",IFERROR(VLOOKUP(F36,'Assessment Scale'!$A$3:$C$13,3,FALSE),""))</f>
        <v/>
      </c>
      <c r="H36" s="18" t="n"/>
    </row>
    <row r="37">
      <c r="A37" s="14" t="inlineStr"/>
      <c r="B37" s="14" t="inlineStr">
        <is>
          <t>Q30</t>
        </is>
      </c>
      <c r="C37" s="15" t="inlineStr">
        <is>
          <t>Was optionality fully investigated — including multi-vendor, open source, and homegrown options — with a documented rationale?</t>
        </is>
      </c>
      <c r="D37" s="16" t="n"/>
      <c r="E37" s="17" t="inlineStr">
        <is>
          <t>Scale 0-10</t>
        </is>
      </c>
      <c r="F37" s="18" t="n"/>
      <c r="G37" s="19">
        <f>IF(OR(F37="",NOT(ISNUMBER(F37))),"",IFERROR(VLOOKUP(F37,'Assessment Scale'!$A$3:$C$13,3,FALSE),""))</f>
        <v/>
      </c>
      <c r="H37" s="18" t="n"/>
    </row>
    <row r="38">
      <c r="A38" s="14" t="inlineStr"/>
      <c r="B38" s="14" t="inlineStr">
        <is>
          <t>Q31</t>
        </is>
      </c>
      <c r="C38" s="15" t="inlineStr">
        <is>
          <t>Is a Total Cost of Ownership (TCO) model available that includes build, operate, maintain, licensing, and exit costs?</t>
        </is>
      </c>
      <c r="D38" s="20" t="inlineStr">
        <is>
          <t>Financial</t>
        </is>
      </c>
      <c r="E38" s="17" t="inlineStr">
        <is>
          <t>Scale 0-10</t>
        </is>
      </c>
      <c r="F38" s="18" t="n"/>
      <c r="G38" s="19">
        <f>IF(OR(F38="",NOT(ISNUMBER(F38))),"",IFERROR(VLOOKUP(F38,'Assessment Scale'!$A$3:$C$13,3,FALSE),""))</f>
        <v/>
      </c>
      <c r="H38" s="18" t="n"/>
    </row>
    <row r="39">
      <c r="A39" s="14" t="inlineStr"/>
      <c r="B39" s="14" t="inlineStr">
        <is>
          <t>Q32</t>
        </is>
      </c>
      <c r="C39" s="15" t="inlineStr">
        <is>
          <t>How well are digital sovereignty considerations addressed — are GC data and systems protected from foreign jurisdiction risk?</t>
        </is>
      </c>
      <c r="D39" s="20" t="inlineStr">
        <is>
          <t>Security</t>
        </is>
      </c>
      <c r="E39" s="17" t="inlineStr">
        <is>
          <t>Scale 0-10</t>
        </is>
      </c>
      <c r="F39" s="18" t="n"/>
      <c r="G39" s="19">
        <f>IF(OR(F39="",NOT(ISNUMBER(F39))),"",IFERROR(VLOOKUP(F39,'Assessment Scale'!$A$3:$C$13,3,FALSE),""))</f>
        <v/>
      </c>
      <c r="H39" s="18" t="n"/>
    </row>
    <row r="40">
      <c r="A40" s="14" t="inlineStr"/>
      <c r="B40" s="14" t="inlineStr">
        <is>
          <t>Q33</t>
        </is>
      </c>
      <c r="C40" s="15" t="inlineStr">
        <is>
          <t>Is the solution designed to integrate with GC-wide shared services (Sign-In Canada, GC Notify, GC Forms, etc.) where applicable?</t>
        </is>
      </c>
      <c r="D40" s="16" t="n"/>
      <c r="E40" s="17" t="inlineStr">
        <is>
          <t>Scale 0-10</t>
        </is>
      </c>
      <c r="F40" s="18" t="n"/>
      <c r="G40" s="19">
        <f>IF(OR(F40="",NOT(ISNUMBER(F40))),"",IFERROR(VLOOKUP(F40,'Assessment Scale'!$A$3:$C$13,3,FALSE),""))</f>
        <v/>
      </c>
      <c r="H40" s="18" t="n"/>
    </row>
    <row r="41">
      <c r="A41" s="14" t="inlineStr"/>
      <c r="B41" s="14" t="inlineStr">
        <is>
          <t>Q34</t>
        </is>
      </c>
      <c r="C41" s="15" t="inlineStr">
        <is>
          <t>How well does the solution avoid unnecessary duplication with existing GC capabilities and investments?</t>
        </is>
      </c>
      <c r="D41" s="20" t="inlineStr">
        <is>
          <t>Financial</t>
        </is>
      </c>
      <c r="E41" s="17" t="inlineStr">
        <is>
          <t>Scale 0-10</t>
        </is>
      </c>
      <c r="F41" s="18" t="n"/>
      <c r="G41" s="19">
        <f>IF(OR(F41="",NOT(ISNUMBER(F41))),"",IFERROR(VLOOKUP(F41,'Assessment Scale'!$A$3:$C$13,3,FALSE),""))</f>
        <v/>
      </c>
      <c r="H41" s="18" t="n"/>
    </row>
    <row r="42">
      <c r="A42" s="14" t="inlineStr"/>
      <c r="B42" s="14" t="inlineStr">
        <is>
          <t>Q35</t>
        </is>
      </c>
      <c r="C42" s="15" t="inlineStr">
        <is>
          <t>Is there a clear strategy for AI integration — including use of GC Foundation Models and GC AI Compute infrastructure?</t>
        </is>
      </c>
      <c r="D42" s="16" t="n"/>
      <c r="E42" s="17" t="inlineStr">
        <is>
          <t>Scale 0-10</t>
        </is>
      </c>
      <c r="F42" s="18" t="n"/>
      <c r="G42" s="19">
        <f>IF(OR(F42="",NOT(ISNUMBER(F42))),"",IFERROR(VLOOKUP(F42,'Assessment Scale'!$A$3:$C$13,3,FALSE),""))</f>
        <v/>
      </c>
      <c r="H42" s="18" t="n"/>
    </row>
    <row r="43">
      <c r="A43" s="14" t="inlineStr"/>
      <c r="B43" s="14" t="inlineStr">
        <is>
          <t>Q36</t>
        </is>
      </c>
      <c r="C43" s="15" t="inlineStr">
        <is>
          <t>Is the solution designed to be decommissioned or migrated, with a documented sunset and transition strategy?</t>
        </is>
      </c>
      <c r="D43" s="16" t="n"/>
      <c r="E43" s="17" t="inlineStr">
        <is>
          <t>Scale 0-10</t>
        </is>
      </c>
      <c r="F43" s="18" t="n"/>
      <c r="G43" s="19">
        <f>IF(OR(F43="",NOT(ISNUMBER(F43))),"",IFERROR(VLOOKUP(F43,'Assessment Scale'!$A$3:$C$13,3,FALSE),""))</f>
        <v/>
      </c>
      <c r="H43" s="18" t="n"/>
    </row>
    <row r="44">
      <c r="A44" s="14" t="inlineStr"/>
      <c r="B44" s="14" t="inlineStr">
        <is>
          <t>Q37</t>
        </is>
      </c>
      <c r="C44" s="15" t="inlineStr">
        <is>
          <t>How well are supply chain security risks addressed in the sourcing and integration of third-party components?</t>
        </is>
      </c>
      <c r="D44" s="20" t="inlineStr">
        <is>
          <t>Security</t>
        </is>
      </c>
      <c r="E44" s="17" t="inlineStr">
        <is>
          <t>Scale 0-10</t>
        </is>
      </c>
      <c r="F44" s="18" t="n"/>
      <c r="G44" s="19">
        <f>IF(OR(F44="",NOT(ISNUMBER(F44))),"",IFERROR(VLOOKUP(F44,'Assessment Scale'!$A$3:$C$13,3,FALSE),""))</f>
        <v/>
      </c>
      <c r="H44" s="18" t="n"/>
    </row>
    <row r="46">
      <c r="A46" s="22" t="inlineStr">
        <is>
          <t>Domain score, weighted across the sections answered</t>
        </is>
      </c>
      <c r="B46" s="23" t="n"/>
      <c r="C46" s="23" t="n"/>
      <c r="D46" s="23" t="n"/>
      <c r="E46" s="23" t="n"/>
      <c r="F46" s="24">
        <f>IFERROR(ROUND((N(F4)*N(G4)+N(F14)*N(G14)+N(F25)*N(G25)+N(F34)*N(G34))/((F4&lt;&gt;"")*N(G4)+(F14&lt;&gt;"")*N(G14)+(F25&lt;&gt;"")*N(G25)+(F34&lt;&gt;"")*N(G34)),1),"")</f>
        <v/>
      </c>
      <c r="G46" s="25" t="inlineStr">
        <is>
          <t>out of 10</t>
        </is>
      </c>
      <c r="H46" s="23" t="n"/>
    </row>
  </sheetData>
  <mergeCells count="7">
    <mergeCell ref="A1:H1"/>
    <mergeCell ref="A34:E34"/>
    <mergeCell ref="A4:E4"/>
    <mergeCell ref="A2:H2"/>
    <mergeCell ref="A25:E25"/>
    <mergeCell ref="A46:E46"/>
    <mergeCell ref="A14:E14"/>
  </mergeCells>
  <dataValidations count="3">
    <dataValidation sqref="D4:D44" showDropDown="0" showInputMessage="0" showErrorMessage="1" allowBlank="1" promptTitle="What else is it about?" prompt="The subjects this question is also about, beyond its own domain. Tick as many as apply. Leave it empty when there are none." type="list">
      <formula1>"Security,Privacy,Financial,Accessibility,Official Languages"</formula1>
    </dataValidation>
    <dataValidation sqref="E4:E44" showDropDown="0" showInputMessage="0" showErrorMessage="1" allowBlank="1" promptTitle="Scale or yes-or-no?" prompt="How this question is answered. Ours, and provisional: change it if it reads wrong." type="list">
      <formula1>"Scale 0-10,Yes / No"</formula1>
    </dataValidation>
    <dataValidation sqref="F4:F44" showDropDown="0" showInputMessage="0" showErrorMessage="1" allowBlank="1" promptTitle="The answer" prompt="A maturity score from 0 to 10, or Yes or No for a question that reads as one, or N/A when the question does not apply." type="list">
      <formula1>"0,1,2,3,4,5,6,7,8,9,10,Yes,No,N/A"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9"/>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6" customWidth="1" min="2" max="2"/>
    <col width="58" customWidth="1" min="3" max="3"/>
    <col width="30" customWidth="1" min="4" max="4"/>
    <col width="13" customWidth="1" min="5" max="5"/>
    <col width="11" customWidth="1" min="6" max="6"/>
    <col width="15" customWidth="1" min="7" max="7"/>
    <col width="30" customWidth="1" min="8" max="8"/>
  </cols>
  <sheetData>
    <row r="1" ht="30" customHeight="1">
      <c r="A1" s="6" t="inlineStr">
        <is>
          <t>Technology &amp; Physical Architecture  ·  Building resilient, sovereign infrastructure foundations</t>
        </is>
      </c>
    </row>
    <row r="2">
      <c r="A2" s="7" t="inlineStr">
        <is>
          <t xml:space="preserve">   Overall weight in GC EA score: 25%</t>
        </is>
      </c>
    </row>
    <row r="3" ht="30" customHeight="1">
      <c r="A3" s="8" t="inlineStr">
        <is>
          <t>#</t>
        </is>
      </c>
      <c r="B3" s="8" t="inlineStr">
        <is>
          <t>Q#</t>
        </is>
      </c>
      <c r="C3" s="8" t="inlineStr">
        <is>
          <t>Assessment Question</t>
        </is>
      </c>
      <c r="D3" s="9" t="inlineStr">
        <is>
          <t>Categories</t>
        </is>
      </c>
      <c r="E3" s="9" t="inlineStr">
        <is>
          <t>Answer type</t>
        </is>
      </c>
      <c r="F3" s="9" t="inlineStr">
        <is>
          <t>Answer</t>
        </is>
      </c>
      <c r="G3" s="9" t="inlineStr">
        <is>
          <t>Maturity Label</t>
        </is>
      </c>
      <c r="H3" s="9" t="inlineStr">
        <is>
          <t>Notes / Evidence</t>
        </is>
      </c>
    </row>
    <row r="4" ht="24" customHeight="1">
      <c r="A4" s="10" t="inlineStr">
        <is>
          <t>Defining the Current State — Section weight: 10%</t>
        </is>
      </c>
      <c r="B4" s="11" t="n"/>
      <c r="C4" s="11" t="n"/>
      <c r="D4" s="11" t="n"/>
      <c r="E4" s="11" t="n"/>
      <c r="F4" s="12">
        <f>IFERROR(ROUND(AVERAGE(F5:F11),1),"")</f>
        <v/>
      </c>
      <c r="G4" s="13" t="n">
        <v>0.1</v>
      </c>
      <c r="H4" s="11" t="n"/>
    </row>
    <row r="5">
      <c r="A5" s="14" t="inlineStr">
        <is>
          <t>S1</t>
        </is>
      </c>
      <c r="B5" s="14" t="inlineStr">
        <is>
          <t>Q1</t>
        </is>
      </c>
      <c r="C5" s="15" t="inlineStr">
        <is>
          <t>Are all details of the current solution's hosting environment — hardware, software, network, and configuration — fully documented?</t>
        </is>
      </c>
      <c r="D5" s="16" t="n"/>
      <c r="E5" s="17" t="inlineStr">
        <is>
          <t>Scale 0-10</t>
        </is>
      </c>
      <c r="F5" s="18" t="n"/>
      <c r="G5" s="19">
        <f>IF(OR(F5="",NOT(ISNUMBER(F5))),"",IFERROR(VLOOKUP(F5,'Assessment Scale'!$A$3:$C$13,3,FALSE),""))</f>
        <v/>
      </c>
      <c r="H5" s="18" t="n"/>
    </row>
    <row r="6">
      <c r="A6" s="14" t="inlineStr"/>
      <c r="B6" s="14" t="inlineStr">
        <is>
          <t>Q2</t>
        </is>
      </c>
      <c r="C6" s="15" t="inlineStr">
        <is>
          <t>Is the current solution healthy, with no critical alerts, capacity issues, or unresolved infrastructure-level incidents?</t>
        </is>
      </c>
      <c r="D6" s="16" t="n"/>
      <c r="E6" s="17" t="inlineStr">
        <is>
          <t>Scale 0-10</t>
        </is>
      </c>
      <c r="F6" s="18" t="n"/>
      <c r="G6" s="19">
        <f>IF(OR(F6="",NOT(ISNUMBER(F6))),"",IFERROR(VLOOKUP(F6,'Assessment Scale'!$A$3:$C$13,3,FALSE),""))</f>
        <v/>
      </c>
      <c r="H6" s="18" t="n"/>
    </row>
    <row r="7">
      <c r="A7" s="14" t="inlineStr"/>
      <c r="B7" s="14" t="inlineStr">
        <is>
          <t>Q3</t>
        </is>
      </c>
      <c r="C7" s="15" t="inlineStr">
        <is>
          <t>Are there any imminent changes to consumed infrastructure services, and is the solution prepared for those transitions?</t>
        </is>
      </c>
      <c r="D7" s="16" t="n"/>
      <c r="E7" s="17" t="inlineStr">
        <is>
          <t>Scale 0-10</t>
        </is>
      </c>
      <c r="F7" s="18" t="n"/>
      <c r="G7" s="19">
        <f>IF(OR(F7="",NOT(ISNUMBER(F7))),"",IFERROR(VLOOKUP(F7,'Assessment Scale'!$A$3:$C$13,3,FALSE),""))</f>
        <v/>
      </c>
      <c r="H7" s="18" t="n"/>
    </row>
    <row r="8">
      <c r="A8" s="14" t="inlineStr"/>
      <c r="B8" s="14" t="inlineStr">
        <is>
          <t>Q4</t>
        </is>
      </c>
      <c r="C8" s="15" t="inlineStr">
        <is>
          <t>Is the lifespan of the solution shorter than that of the infrastructure — and if not, is an upgrade plan in the backlog?</t>
        </is>
      </c>
      <c r="D8" s="16" t="n"/>
      <c r="E8" s="17" t="inlineStr">
        <is>
          <t>Scale 0-10</t>
        </is>
      </c>
      <c r="F8" s="18" t="n"/>
      <c r="G8" s="19">
        <f>IF(OR(F8="",NOT(ISNUMBER(F8))),"",IFERROR(VLOOKUP(F8,'Assessment Scale'!$A$3:$C$13,3,FALSE),""))</f>
        <v/>
      </c>
      <c r="H8" s="18" t="n"/>
    </row>
    <row r="9">
      <c r="A9" s="14" t="inlineStr"/>
      <c r="B9" s="14" t="inlineStr">
        <is>
          <t>Q5</t>
        </is>
      </c>
      <c r="C9" s="15" t="inlineStr">
        <is>
          <t>How well-informed is the team about their infrastructure service provider's roadmap, changes, and service performance?</t>
        </is>
      </c>
      <c r="D9" s="16" t="n"/>
      <c r="E9" s="17" t="inlineStr">
        <is>
          <t>Scale 0-10</t>
        </is>
      </c>
      <c r="F9" s="18" t="n"/>
      <c r="G9" s="19">
        <f>IF(OR(F9="",NOT(ISNUMBER(F9))),"",IFERROR(VLOOKUP(F9,'Assessment Scale'!$A$3:$C$13,3,FALSE),""))</f>
        <v/>
      </c>
      <c r="H9" s="18" t="n"/>
    </row>
    <row r="10">
      <c r="A10" s="14" t="inlineStr"/>
      <c r="B10" s="14" t="inlineStr">
        <is>
          <t>Q6</t>
        </is>
      </c>
      <c r="C10" s="15" t="inlineStr">
        <is>
          <t>Can infrastructure be ordered and provisioned on demand, and what lead time is required?</t>
        </is>
      </c>
      <c r="D10" s="16" t="n"/>
      <c r="E10" s="17" t="inlineStr">
        <is>
          <t>Scale 0-10</t>
        </is>
      </c>
      <c r="F10" s="18" t="n"/>
      <c r="G10" s="19">
        <f>IF(OR(F10="",NOT(ISNUMBER(F10))),"",IFERROR(VLOOKUP(F10,'Assessment Scale'!$A$3:$C$13,3,FALSE),""))</f>
        <v/>
      </c>
      <c r="H10" s="18" t="n"/>
    </row>
    <row r="11">
      <c r="A11" s="14" t="inlineStr"/>
      <c r="B11" s="14" t="inlineStr">
        <is>
          <t>Q7</t>
        </is>
      </c>
      <c r="C11" s="15" t="inlineStr">
        <is>
          <t>Is there a clear inventory of all infrastructure components, including versions, patch levels, and support status?</t>
        </is>
      </c>
      <c r="D11" s="16" t="n"/>
      <c r="E11" s="17" t="inlineStr">
        <is>
          <t>Scale 0-10</t>
        </is>
      </c>
      <c r="F11" s="18" t="n"/>
      <c r="G11" s="19">
        <f>IF(OR(F11="",NOT(ISNUMBER(F11))),"",IFERROR(VLOOKUP(F11,'Assessment Scale'!$A$3:$C$13,3,FALSE),""))</f>
        <v/>
      </c>
      <c r="H11" s="18" t="n"/>
    </row>
    <row r="12" ht="24" customHeight="1">
      <c r="A12" s="10" t="inlineStr">
        <is>
          <t>Infrastructure Architecture &amp; Deployment Model — Section weight: 25%</t>
        </is>
      </c>
      <c r="B12" s="11" t="n"/>
      <c r="C12" s="11" t="n"/>
      <c r="D12" s="11" t="n"/>
      <c r="E12" s="11" t="n"/>
      <c r="F12" s="12">
        <f>IFERROR(ROUND(AVERAGE(F13:F22),1),"")</f>
        <v/>
      </c>
      <c r="G12" s="13" t="n">
        <v>0.25</v>
      </c>
      <c r="H12" s="11" t="n"/>
    </row>
    <row r="13">
      <c r="A13" s="14" t="inlineStr">
        <is>
          <t>S2</t>
        </is>
      </c>
      <c r="B13" s="14" t="inlineStr">
        <is>
          <t>Q8</t>
        </is>
      </c>
      <c r="C13" s="15" t="inlineStr">
        <is>
          <t>Is the physical hosting model (on-premise EDC, public cloud, private cloud, hybrid) clearly justified and documented?</t>
        </is>
      </c>
      <c r="D13" s="16" t="n"/>
      <c r="E13" s="17" t="inlineStr">
        <is>
          <t>Scale 0-10</t>
        </is>
      </c>
      <c r="F13" s="18" t="n"/>
      <c r="G13" s="19">
        <f>IF(OR(F13="",NOT(ISNUMBER(F13))),"",IFERROR(VLOOKUP(F13,'Assessment Scale'!$A$3:$C$13,3,FALSE),""))</f>
        <v/>
      </c>
      <c r="H13" s="18" t="n"/>
    </row>
    <row r="14">
      <c r="A14" s="14" t="inlineStr"/>
      <c r="B14" s="14" t="inlineStr">
        <is>
          <t>Q9</t>
        </is>
      </c>
      <c r="C14" s="15" t="inlineStr">
        <is>
          <t>Is the decision between shared and dedicated hardware documented with supporting rationale for cost, isolation, and performance?</t>
        </is>
      </c>
      <c r="D14" s="20" t="inlineStr">
        <is>
          <t>Financial</t>
        </is>
      </c>
      <c r="E14" s="17" t="inlineStr">
        <is>
          <t>Scale 0-10</t>
        </is>
      </c>
      <c r="F14" s="18" t="n"/>
      <c r="G14" s="19">
        <f>IF(OR(F14="",NOT(ISNUMBER(F14))),"",IFERROR(VLOOKUP(F14,'Assessment Scale'!$A$3:$C$13,3,FALSE),""))</f>
        <v/>
      </c>
      <c r="H14" s="18" t="n"/>
    </row>
    <row r="15">
      <c r="A15" s="14" t="inlineStr"/>
      <c r="B15" s="14" t="inlineStr">
        <is>
          <t>Q10</t>
        </is>
      </c>
      <c r="C15" s="15" t="inlineStr">
        <is>
          <t>Are physical kiosks, IoT devices, or specialized hardware requirements identified and architecturally accommodated?</t>
        </is>
      </c>
      <c r="D15" s="16" t="n"/>
      <c r="E15" s="17" t="inlineStr">
        <is>
          <t>Scale 0-10</t>
        </is>
      </c>
      <c r="F15" s="18" t="n"/>
      <c r="G15" s="19">
        <f>IF(OR(F15="",NOT(ISNUMBER(F15))),"",IFERROR(VLOOKUP(F15,'Assessment Scale'!$A$3:$C$13,3,FALSE),""))</f>
        <v/>
      </c>
      <c r="H15" s="18" t="n"/>
    </row>
    <row r="16">
      <c r="A16" s="14" t="inlineStr"/>
      <c r="B16" s="14" t="inlineStr">
        <is>
          <t>Q11</t>
        </is>
      </c>
      <c r="C16" s="15" t="inlineStr">
        <is>
          <t>How well does the design leverage GC-wide service consolidation, shared footprint, and enterprise infrastructure services?</t>
        </is>
      </c>
      <c r="D16" s="16" t="n"/>
      <c r="E16" s="17" t="inlineStr">
        <is>
          <t>Scale 0-10</t>
        </is>
      </c>
      <c r="F16" s="18" t="n"/>
      <c r="G16" s="19">
        <f>IF(OR(F16="",NOT(ISNUMBER(F16))),"",IFERROR(VLOOKUP(F16,'Assessment Scale'!$A$3:$C$13,3,FALSE),""))</f>
        <v/>
      </c>
      <c r="H16" s="18" t="n"/>
    </row>
    <row r="17">
      <c r="A17" s="14" t="inlineStr"/>
      <c r="B17" s="14" t="inlineStr">
        <is>
          <t>Q12</t>
        </is>
      </c>
      <c r="C17" s="15" t="inlineStr">
        <is>
          <t>Are elasticity, burst capacity, and auto-scaling requirements defined and architecturally implemented?</t>
        </is>
      </c>
      <c r="D17" s="16" t="n"/>
      <c r="E17" s="17" t="inlineStr">
        <is>
          <t>Scale 0-10</t>
        </is>
      </c>
      <c r="F17" s="18" t="n"/>
      <c r="G17" s="19">
        <f>IF(OR(F17="",NOT(ISNUMBER(F17))),"",IFERROR(VLOOKUP(F17,'Assessment Scale'!$A$3:$C$13,3,FALSE),""))</f>
        <v/>
      </c>
      <c r="H17" s="18" t="n"/>
    </row>
    <row r="18">
      <c r="A18" s="14" t="inlineStr"/>
      <c r="B18" s="14" t="inlineStr">
        <is>
          <t>Q13</t>
        </is>
      </c>
      <c r="C18" s="15" t="inlineStr">
        <is>
          <t>Are High-Performance Computing (HPC) and edge computing needs assessed and addressed where applicable?</t>
        </is>
      </c>
      <c r="D18" s="16" t="n"/>
      <c r="E18" s="17" t="inlineStr">
        <is>
          <t>Scale 0-10</t>
        </is>
      </c>
      <c r="F18" s="18" t="n"/>
      <c r="G18" s="19">
        <f>IF(OR(F18="",NOT(ISNUMBER(F18))),"",IFERROR(VLOOKUP(F18,'Assessment Scale'!$A$3:$C$13,3,FALSE),""))</f>
        <v/>
      </c>
      <c r="H18" s="18" t="n"/>
    </row>
    <row r="19">
      <c r="A19" s="14" t="inlineStr"/>
      <c r="B19" s="14" t="inlineStr">
        <is>
          <t>Q14</t>
        </is>
      </c>
      <c r="C19" s="15" t="inlineStr">
        <is>
          <t>Is GC AI Compute (dedicated GC-owned/controlled GPU infrastructure) considered and evaluated as a first option for AI workloads?</t>
        </is>
      </c>
      <c r="D19" s="16" t="n"/>
      <c r="E19" s="21" t="inlineStr">
        <is>
          <t>Yes / No</t>
        </is>
      </c>
      <c r="F19" s="18" t="n"/>
      <c r="G19" s="19">
        <f>IF(OR(F19="",NOT(ISNUMBER(F19))),"",IFERROR(VLOOKUP(F19,'Assessment Scale'!$A$3:$C$13,3,FALSE),""))</f>
        <v/>
      </c>
      <c r="H19" s="18" t="n"/>
    </row>
    <row r="20">
      <c r="A20" s="14" t="inlineStr"/>
      <c r="B20" s="14" t="inlineStr">
        <is>
          <t>Q15</t>
        </is>
      </c>
      <c r="C20" s="15" t="inlineStr">
        <is>
          <t>Are bandwidth, latency, and network connectivity requirements defined and met by the infrastructure design?</t>
        </is>
      </c>
      <c r="D20" s="16" t="n"/>
      <c r="E20" s="17" t="inlineStr">
        <is>
          <t>Scale 0-10</t>
        </is>
      </c>
      <c r="F20" s="18" t="n"/>
      <c r="G20" s="19">
        <f>IF(OR(F20="",NOT(ISNUMBER(F20))),"",IFERROR(VLOOKUP(F20,'Assessment Scale'!$A$3:$C$13,3,FALSE),""))</f>
        <v/>
      </c>
      <c r="H20" s="18" t="n"/>
    </row>
    <row r="21">
      <c r="A21" s="14" t="inlineStr"/>
      <c r="B21" s="14" t="inlineStr">
        <is>
          <t>Q16</t>
        </is>
      </c>
      <c r="C21" s="15" t="inlineStr">
        <is>
          <t>Are storage volumes, IOPS, throughput, and data tiering requirements specified and provisioned appropriately?</t>
        </is>
      </c>
      <c r="D21" s="16" t="n"/>
      <c r="E21" s="17" t="inlineStr">
        <is>
          <t>Scale 0-10</t>
        </is>
      </c>
      <c r="F21" s="18" t="n"/>
      <c r="G21" s="19">
        <f>IF(OR(F21="",NOT(ISNUMBER(F21))),"",IFERROR(VLOOKUP(F21,'Assessment Scale'!$A$3:$C$13,3,FALSE),""))</f>
        <v/>
      </c>
      <c r="H21" s="18" t="n"/>
    </row>
    <row r="22">
      <c r="A22" s="14" t="inlineStr"/>
      <c r="B22" s="14" t="inlineStr">
        <is>
          <t>Q17</t>
        </is>
      </c>
      <c r="C22" s="15" t="inlineStr">
        <is>
          <t>Is the deployment model designed to meet availability, recovery time, and recovery point objectives?</t>
        </is>
      </c>
      <c r="D22" s="16" t="n"/>
      <c r="E22" s="17" t="inlineStr">
        <is>
          <t>Scale 0-10</t>
        </is>
      </c>
      <c r="F22" s="18" t="n"/>
      <c r="G22" s="19">
        <f>IF(OR(F22="",NOT(ISNUMBER(F22))),"",IFERROR(VLOOKUP(F22,'Assessment Scale'!$A$3:$C$13,3,FALSE),""))</f>
        <v/>
      </c>
      <c r="H22" s="18" t="n"/>
    </row>
    <row r="23" ht="24" customHeight="1">
      <c r="A23" s="10" t="inlineStr">
        <is>
          <t>Modern Engineering Patterns &amp; Platform Design — Section weight: 20%</t>
        </is>
      </c>
      <c r="B23" s="11" t="n"/>
      <c r="C23" s="11" t="n"/>
      <c r="D23" s="11" t="n"/>
      <c r="E23" s="11" t="n"/>
      <c r="F23" s="12">
        <f>IFERROR(ROUND(AVERAGE(F24:F30),1),"")</f>
        <v/>
      </c>
      <c r="G23" s="13" t="n">
        <v>0.2</v>
      </c>
      <c r="H23" s="11" t="n"/>
    </row>
    <row r="24">
      <c r="A24" s="14" t="inlineStr">
        <is>
          <t>S3</t>
        </is>
      </c>
      <c r="B24" s="14" t="inlineStr">
        <is>
          <t>Q18</t>
        </is>
      </c>
      <c r="C24" s="15" t="inlineStr">
        <is>
          <t>Is configuration and infrastructure managed as code (IaC/CaC), enabling reproducible and auditable deployments?</t>
        </is>
      </c>
      <c r="D24" s="16" t="n"/>
      <c r="E24" s="17" t="inlineStr">
        <is>
          <t>Scale 0-10</t>
        </is>
      </c>
      <c r="F24" s="18" t="n"/>
      <c r="G24" s="19">
        <f>IF(OR(F24="",NOT(ISNUMBER(F24))),"",IFERROR(VLOOKUP(F24,'Assessment Scale'!$A$3:$C$13,3,FALSE),""))</f>
        <v/>
      </c>
      <c r="H24" s="18" t="n"/>
    </row>
    <row r="25">
      <c r="A25" s="14" t="inlineStr"/>
      <c r="B25" s="14" t="inlineStr">
        <is>
          <t>Q19</t>
        </is>
      </c>
      <c r="C25" s="15" t="inlineStr">
        <is>
          <t>How well does the team understand and apply GC-relevant infrastructure design patterns and reference architectures?</t>
        </is>
      </c>
      <c r="D25" s="16" t="n"/>
      <c r="E25" s="17" t="inlineStr">
        <is>
          <t>Scale 0-10</t>
        </is>
      </c>
      <c r="F25" s="18" t="n"/>
      <c r="G25" s="19">
        <f>IF(OR(F25="",NOT(ISNUMBER(F25))),"",IFERROR(VLOOKUP(F25,'Assessment Scale'!$A$3:$C$13,3,FALSE),""))</f>
        <v/>
      </c>
      <c r="H25" s="18" t="n"/>
    </row>
    <row r="26">
      <c r="A26" s="14" t="inlineStr"/>
      <c r="B26" s="14" t="inlineStr">
        <is>
          <t>Q20</t>
        </is>
      </c>
      <c r="C26" s="15" t="inlineStr">
        <is>
          <t>Does the architecture embrace composable, modular designs and event-driven models where appropriate?</t>
        </is>
      </c>
      <c r="D26" s="16" t="n"/>
      <c r="E26" s="17" t="inlineStr">
        <is>
          <t>Scale 0-10</t>
        </is>
      </c>
      <c r="F26" s="18" t="n"/>
      <c r="G26" s="19">
        <f>IF(OR(F26="",NOT(ISNUMBER(F26))),"",IFERROR(VLOOKUP(F26,'Assessment Scale'!$A$3:$C$13,3,FALSE),""))</f>
        <v/>
      </c>
      <c r="H26" s="18" t="n"/>
    </row>
    <row r="27">
      <c r="A27" s="14" t="inlineStr"/>
      <c r="B27" s="14" t="inlineStr">
        <is>
          <t>Q21</t>
        </is>
      </c>
      <c r="C27" s="15" t="inlineStr">
        <is>
          <t>Is interoperability and containerization baked into the infrastructure design from the beginning?</t>
        </is>
      </c>
      <c r="D27" s="16" t="n"/>
      <c r="E27" s="17" t="inlineStr">
        <is>
          <t>Scale 0-10</t>
        </is>
      </c>
      <c r="F27" s="18" t="n"/>
      <c r="G27" s="19">
        <f>IF(OR(F27="",NOT(ISNUMBER(F27))),"",IFERROR(VLOOKUP(F27,'Assessment Scale'!$A$3:$C$13,3,FALSE),""))</f>
        <v/>
      </c>
      <c r="H27" s="18" t="n"/>
    </row>
    <row r="28">
      <c r="A28" s="14" t="inlineStr"/>
      <c r="B28" s="14" t="inlineStr">
        <is>
          <t>Q22</t>
        </is>
      </c>
      <c r="C28" s="15" t="inlineStr">
        <is>
          <t>Is there a documented plan and roadmap for quantum and post-quantum cryptography readiness?</t>
        </is>
      </c>
      <c r="D28" s="20" t="inlineStr">
        <is>
          <t>Security</t>
        </is>
      </c>
      <c r="E28" s="17" t="inlineStr">
        <is>
          <t>Scale 0-10</t>
        </is>
      </c>
      <c r="F28" s="18" t="n"/>
      <c r="G28" s="19">
        <f>IF(OR(F28="",NOT(ISNUMBER(F28))),"",IFERROR(VLOOKUP(F28,'Assessment Scale'!$A$3:$C$13,3,FALSE),""))</f>
        <v/>
      </c>
      <c r="H28" s="18" t="n"/>
    </row>
    <row r="29">
      <c r="A29" s="14" t="inlineStr"/>
      <c r="B29" s="14" t="inlineStr">
        <is>
          <t>Q23</t>
        </is>
      </c>
      <c r="C29" s="15" t="inlineStr">
        <is>
          <t>How mature is the use of platform engineering practices — are developer-facing platforms self-service and well-governed?</t>
        </is>
      </c>
      <c r="D29" s="16" t="n"/>
      <c r="E29" s="17" t="inlineStr">
        <is>
          <t>Scale 0-10</t>
        </is>
      </c>
      <c r="F29" s="18" t="n"/>
      <c r="G29" s="19">
        <f>IF(OR(F29="",NOT(ISNUMBER(F29))),"",IFERROR(VLOOKUP(F29,'Assessment Scale'!$A$3:$C$13,3,FALSE),""))</f>
        <v/>
      </c>
      <c r="H29" s="18" t="n"/>
    </row>
    <row r="30">
      <c r="A30" s="14" t="inlineStr"/>
      <c r="B30" s="14" t="inlineStr">
        <is>
          <t>Q24</t>
        </is>
      </c>
      <c r="C30" s="15" t="inlineStr">
        <is>
          <t>Are orchestration and container management (e.g., Kubernetes) used appropriately and configured to GC standards?</t>
        </is>
      </c>
      <c r="D30" s="16" t="n"/>
      <c r="E30" s="17" t="inlineStr">
        <is>
          <t>Scale 0-10</t>
        </is>
      </c>
      <c r="F30" s="18" t="n"/>
      <c r="G30" s="19">
        <f>IF(OR(F30="",NOT(ISNUMBER(F30))),"",IFERROR(VLOOKUP(F30,'Assessment Scale'!$A$3:$C$13,3,FALSE),""))</f>
        <v/>
      </c>
      <c r="H30" s="18" t="n"/>
    </row>
    <row r="31" ht="24" customHeight="1">
      <c r="A31" s="10" t="inlineStr">
        <is>
          <t>Resilience, Sovereignty &amp; Security — Section weight: 25%</t>
        </is>
      </c>
      <c r="B31" s="11" t="n"/>
      <c r="C31" s="11" t="n"/>
      <c r="D31" s="11" t="n"/>
      <c r="E31" s="11" t="n"/>
      <c r="F31" s="12">
        <f>IFERROR(ROUND(AVERAGE(F32:F39),1),"")</f>
        <v/>
      </c>
      <c r="G31" s="13" t="n">
        <v>0.25</v>
      </c>
      <c r="H31" s="11" t="n"/>
    </row>
    <row r="32">
      <c r="A32" s="14" t="inlineStr">
        <is>
          <t>S4</t>
        </is>
      </c>
      <c r="B32" s="14" t="inlineStr">
        <is>
          <t>Q25</t>
        </is>
      </c>
      <c r="C32" s="15" t="inlineStr">
        <is>
          <t>Are resilience requirements (availability tiers, fault tolerance, geo-redundancy) formally defined and validated in design?</t>
        </is>
      </c>
      <c r="D32" s="16" t="n"/>
      <c r="E32" s="17" t="inlineStr">
        <is>
          <t>Scale 0-10</t>
        </is>
      </c>
      <c r="F32" s="18" t="n"/>
      <c r="G32" s="19">
        <f>IF(OR(F32="",NOT(ISNUMBER(F32))),"",IFERROR(VLOOKUP(F32,'Assessment Scale'!$A$3:$C$13,3,FALSE),""))</f>
        <v/>
      </c>
      <c r="H32" s="18" t="n"/>
    </row>
    <row r="33">
      <c r="A33" s="14" t="inlineStr"/>
      <c r="B33" s="14" t="inlineStr">
        <is>
          <t>Q26</t>
        </is>
      </c>
      <c r="C33" s="15" t="inlineStr">
        <is>
          <t>Is the solution's data sovereignty posture clearly documented, including data residency and foreign access risk mitigation?</t>
        </is>
      </c>
      <c r="D33" s="20" t="inlineStr">
        <is>
          <t>Security</t>
        </is>
      </c>
      <c r="E33" s="17" t="inlineStr">
        <is>
          <t>Scale 0-10</t>
        </is>
      </c>
      <c r="F33" s="18" t="n"/>
      <c r="G33" s="19">
        <f>IF(OR(F33="",NOT(ISNUMBER(F33))),"",IFERROR(VLOOKUP(F33,'Assessment Scale'!$A$3:$C$13,3,FALSE),""))</f>
        <v/>
      </c>
      <c r="H33" s="18" t="n"/>
    </row>
    <row r="34">
      <c r="A34" s="14" t="inlineStr"/>
      <c r="B34" s="14" t="inlineStr">
        <is>
          <t>Q27</t>
        </is>
      </c>
      <c r="C34" s="15" t="inlineStr">
        <is>
          <t>How mature is the zero-trust security architecture — is authentication, authorization, and segmentation enforced throughout?</t>
        </is>
      </c>
      <c r="D34" s="20" t="inlineStr">
        <is>
          <t>Security</t>
        </is>
      </c>
      <c r="E34" s="17" t="inlineStr">
        <is>
          <t>Scale 0-10</t>
        </is>
      </c>
      <c r="F34" s="18" t="n"/>
      <c r="G34" s="19">
        <f>IF(OR(F34="",NOT(ISNUMBER(F34))),"",IFERROR(VLOOKUP(F34,'Assessment Scale'!$A$3:$C$13,3,FALSE),""))</f>
        <v/>
      </c>
      <c r="H34" s="18" t="n"/>
    </row>
    <row r="35">
      <c r="A35" s="14" t="inlineStr"/>
      <c r="B35" s="14" t="inlineStr">
        <is>
          <t>Q28</t>
        </is>
      </c>
      <c r="C35" s="15" t="inlineStr">
        <is>
          <t>Is encryption applied appropriately at rest, in transit, and in processing, using GC-approved cryptographic standards?</t>
        </is>
      </c>
      <c r="D35" s="20" t="inlineStr">
        <is>
          <t>Security</t>
        </is>
      </c>
      <c r="E35" s="17" t="inlineStr">
        <is>
          <t>Scale 0-10</t>
        </is>
      </c>
      <c r="F35" s="18" t="n"/>
      <c r="G35" s="19">
        <f>IF(OR(F35="",NOT(ISNUMBER(F35))),"",IFERROR(VLOOKUP(F35,'Assessment Scale'!$A$3:$C$13,3,FALSE),""))</f>
        <v/>
      </c>
      <c r="H35" s="18" t="n"/>
    </row>
    <row r="36">
      <c r="A36" s="14" t="inlineStr"/>
      <c r="B36" s="14" t="inlineStr">
        <is>
          <t>Q29</t>
        </is>
      </c>
      <c r="C36" s="15" t="inlineStr">
        <is>
          <t>Has a Threat and Risk Assessment (TRA) or Security Assessment and Authorization (SA&amp;A) been completed and reflected in design?</t>
        </is>
      </c>
      <c r="D36" s="20" t="inlineStr">
        <is>
          <t>Security</t>
        </is>
      </c>
      <c r="E36" s="21" t="inlineStr">
        <is>
          <t>Yes / No</t>
        </is>
      </c>
      <c r="F36" s="18" t="n"/>
      <c r="G36" s="19">
        <f>IF(OR(F36="",NOT(ISNUMBER(F36))),"",IFERROR(VLOOKUP(F36,'Assessment Scale'!$A$3:$C$13,3,FALSE),""))</f>
        <v/>
      </c>
      <c r="H36" s="18" t="n"/>
    </row>
    <row r="37">
      <c r="A37" s="14" t="inlineStr"/>
      <c r="B37" s="14" t="inlineStr">
        <is>
          <t>Q30</t>
        </is>
      </c>
      <c r="C37" s="15" t="inlineStr">
        <is>
          <t>Are security controls validated through automated security testing, vulnerability scanning, and penetration testing?</t>
        </is>
      </c>
      <c r="D37" s="20" t="inlineStr">
        <is>
          <t>Security</t>
        </is>
      </c>
      <c r="E37" s="17" t="inlineStr">
        <is>
          <t>Scale 0-10</t>
        </is>
      </c>
      <c r="F37" s="18" t="n"/>
      <c r="G37" s="19">
        <f>IF(OR(F37="",NOT(ISNUMBER(F37))),"",IFERROR(VLOOKUP(F37,'Assessment Scale'!$A$3:$C$13,3,FALSE),""))</f>
        <v/>
      </c>
      <c r="H37" s="18" t="n"/>
    </row>
    <row r="38">
      <c r="A38" s="14" t="inlineStr"/>
      <c r="B38" s="14" t="inlineStr">
        <is>
          <t>Q31</t>
        </is>
      </c>
      <c r="C38" s="15" t="inlineStr">
        <is>
          <t>Is there a documented and tested disaster recovery plan, with defined RTO and RPO that align to business requirements?</t>
        </is>
      </c>
      <c r="D38" s="16" t="n"/>
      <c r="E38" s="17" t="inlineStr">
        <is>
          <t>Scale 0-10</t>
        </is>
      </c>
      <c r="F38" s="18" t="n"/>
      <c r="G38" s="19">
        <f>IF(OR(F38="",NOT(ISNUMBER(F38))),"",IFERROR(VLOOKUP(F38,'Assessment Scale'!$A$3:$C$13,3,FALSE),""))</f>
        <v/>
      </c>
      <c r="H38" s="18" t="n"/>
    </row>
    <row r="39">
      <c r="A39" s="14" t="inlineStr"/>
      <c r="B39" s="14" t="inlineStr">
        <is>
          <t>Q32</t>
        </is>
      </c>
      <c r="C39" s="15" t="inlineStr">
        <is>
          <t>Are GC Cloud Guardrails and security baseline configurations implemented and continuously validated?</t>
        </is>
      </c>
      <c r="D39" s="20" t="inlineStr">
        <is>
          <t>Security</t>
        </is>
      </c>
      <c r="E39" s="17" t="inlineStr">
        <is>
          <t>Scale 0-10</t>
        </is>
      </c>
      <c r="F39" s="18" t="n"/>
      <c r="G39" s="19">
        <f>IF(OR(F39="",NOT(ISNUMBER(F39))),"",IFERROR(VLOOKUP(F39,'Assessment Scale'!$A$3:$C$13,3,FALSE),""))</f>
        <v/>
      </c>
      <c r="H39" s="18" t="n"/>
    </row>
    <row r="40" ht="24" customHeight="1">
      <c r="A40" s="10" t="inlineStr">
        <is>
          <t>Operations, Governance &amp; Continuous Management — Section weight: 20%</t>
        </is>
      </c>
      <c r="B40" s="11" t="n"/>
      <c r="C40" s="11" t="n"/>
      <c r="D40" s="11" t="n"/>
      <c r="E40" s="11" t="n"/>
      <c r="F40" s="12">
        <f>IFERROR(ROUND(AVERAGE(F41:F47),1),"")</f>
        <v/>
      </c>
      <c r="G40" s="13" t="n">
        <v>0.2</v>
      </c>
      <c r="H40" s="11" t="n"/>
    </row>
    <row r="41">
      <c r="A41" s="14" t="inlineStr">
        <is>
          <t>S5</t>
        </is>
      </c>
      <c r="B41" s="14" t="inlineStr">
        <is>
          <t>Q33</t>
        </is>
      </c>
      <c r="C41" s="15" t="inlineStr">
        <is>
          <t>Are real-time monitoring, alerting, and incident response capabilities in place and actively used?</t>
        </is>
      </c>
      <c r="D41" s="16" t="n"/>
      <c r="E41" s="17" t="inlineStr">
        <is>
          <t>Scale 0-10</t>
        </is>
      </c>
      <c r="F41" s="18" t="n"/>
      <c r="G41" s="19">
        <f>IF(OR(F41="",NOT(ISNUMBER(F41))),"",IFERROR(VLOOKUP(F41,'Assessment Scale'!$A$3:$C$13,3,FALSE),""))</f>
        <v/>
      </c>
      <c r="H41" s="18" t="n"/>
    </row>
    <row r="42">
      <c r="A42" s="14" t="inlineStr"/>
      <c r="B42" s="14" t="inlineStr">
        <is>
          <t>Q34</t>
        </is>
      </c>
      <c r="C42" s="15" t="inlineStr">
        <is>
          <t>Is activity auditing implemented at the infrastructure level, enabling forensic investigation and compliance verification?</t>
        </is>
      </c>
      <c r="D42" s="16" t="n"/>
      <c r="E42" s="17" t="inlineStr">
        <is>
          <t>Scale 0-10</t>
        </is>
      </c>
      <c r="F42" s="18" t="n"/>
      <c r="G42" s="19">
        <f>IF(OR(F42="",NOT(ISNUMBER(F42))),"",IFERROR(VLOOKUP(F42,'Assessment Scale'!$A$3:$C$13,3,FALSE),""))</f>
        <v/>
      </c>
      <c r="H42" s="18" t="n"/>
    </row>
    <row r="43">
      <c r="A43" s="14" t="inlineStr"/>
      <c r="B43" s="14" t="inlineStr">
        <is>
          <t>Q35</t>
        </is>
      </c>
      <c r="C43" s="15" t="inlineStr">
        <is>
          <t>How mature is the FinOps practice — are cloud and infrastructure costs tracked, attributed, optimized, and reported?</t>
        </is>
      </c>
      <c r="D43" s="20" t="inlineStr">
        <is>
          <t>Financial</t>
        </is>
      </c>
      <c r="E43" s="17" t="inlineStr">
        <is>
          <t>Scale 0-10</t>
        </is>
      </c>
      <c r="F43" s="18" t="n"/>
      <c r="G43" s="19">
        <f>IF(OR(F43="",NOT(ISNUMBER(F43))),"",IFERROR(VLOOKUP(F43,'Assessment Scale'!$A$3:$C$13,3,FALSE),""))</f>
        <v/>
      </c>
      <c r="H43" s="18" t="n"/>
    </row>
    <row r="44">
      <c r="A44" s="14" t="inlineStr"/>
      <c r="B44" s="14" t="inlineStr">
        <is>
          <t>Q36</t>
        </is>
      </c>
      <c r="C44" s="15" t="inlineStr">
        <is>
          <t>Is there infrastructure-level observability (metrics, logs, traces) that provides end-to-end system visibility?</t>
        </is>
      </c>
      <c r="D44" s="16" t="n"/>
      <c r="E44" s="17" t="inlineStr">
        <is>
          <t>Scale 0-10</t>
        </is>
      </c>
      <c r="F44" s="18" t="n"/>
      <c r="G44" s="19">
        <f>IF(OR(F44="",NOT(ISNUMBER(F44))),"",IFERROR(VLOOKUP(F44,'Assessment Scale'!$A$3:$C$13,3,FALSE),""))</f>
        <v/>
      </c>
      <c r="H44" s="18" t="n"/>
    </row>
    <row r="45">
      <c r="A45" s="14" t="inlineStr"/>
      <c r="B45" s="14" t="inlineStr">
        <is>
          <t>Q37</t>
        </is>
      </c>
      <c r="C45" s="15" t="inlineStr">
        <is>
          <t>Are resource governance policies enforced — including tagging, cost allocation, and access to shared infrastructure?</t>
        </is>
      </c>
      <c r="D45" s="20" t="inlineStr">
        <is>
          <t>Financial</t>
        </is>
      </c>
      <c r="E45" s="17" t="inlineStr">
        <is>
          <t>Scale 0-10</t>
        </is>
      </c>
      <c r="F45" s="18" t="n"/>
      <c r="G45" s="19">
        <f>IF(OR(F45="",NOT(ISNUMBER(F45))),"",IFERROR(VLOOKUP(F45,'Assessment Scale'!$A$3:$C$13,3,FALSE),""))</f>
        <v/>
      </c>
      <c r="H45" s="18" t="n"/>
    </row>
    <row r="46">
      <c r="A46" s="14" t="inlineStr"/>
      <c r="B46" s="14" t="inlineStr">
        <is>
          <t>Q38</t>
        </is>
      </c>
      <c r="C46" s="15" t="inlineStr">
        <is>
          <t>Is there a continuous business need (CBN) process to evaluate whether infrastructure investment remains justified?</t>
        </is>
      </c>
      <c r="D46" s="20" t="inlineStr">
        <is>
          <t>Financial</t>
        </is>
      </c>
      <c r="E46" s="21" t="inlineStr">
        <is>
          <t>Yes / No</t>
        </is>
      </c>
      <c r="F46" s="18" t="n"/>
      <c r="G46" s="19">
        <f>IF(OR(F46="",NOT(ISNUMBER(F46))),"",IFERROR(VLOOKUP(F46,'Assessment Scale'!$A$3:$C$13,3,FALSE),""))</f>
        <v/>
      </c>
      <c r="H46" s="18" t="n"/>
    </row>
    <row r="47">
      <c r="A47" s="14" t="inlineStr"/>
      <c r="B47" s="14" t="inlineStr">
        <is>
          <t>Q39</t>
        </is>
      </c>
      <c r="C47" s="15" t="inlineStr">
        <is>
          <t>How mature is the infrastructure change management process — are changes reviewed, approved, and traceable?</t>
        </is>
      </c>
      <c r="D47" s="16" t="n"/>
      <c r="E47" s="17" t="inlineStr">
        <is>
          <t>Scale 0-10</t>
        </is>
      </c>
      <c r="F47" s="18" t="n"/>
      <c r="G47" s="19">
        <f>IF(OR(F47="",NOT(ISNUMBER(F47))),"",IFERROR(VLOOKUP(F47,'Assessment Scale'!$A$3:$C$13,3,FALSE),""))</f>
        <v/>
      </c>
      <c r="H47" s="18" t="n"/>
    </row>
    <row r="49">
      <c r="A49" s="22" t="inlineStr">
        <is>
          <t>Domain score, weighted across the sections answered</t>
        </is>
      </c>
      <c r="B49" s="23" t="n"/>
      <c r="C49" s="23" t="n"/>
      <c r="D49" s="23" t="n"/>
      <c r="E49" s="23" t="n"/>
      <c r="F49" s="24">
        <f>IFERROR(ROUND((N(F4)*N(G4)+N(F12)*N(G12)+N(F23)*N(G23)+N(F31)*N(G31)+N(F40)*N(G40))/((F4&lt;&gt;"")*N(G4)+(F12&lt;&gt;"")*N(G12)+(F23&lt;&gt;"")*N(G23)+(F31&lt;&gt;"")*N(G31)+(F40&lt;&gt;"")*N(G40)),1),"")</f>
        <v/>
      </c>
      <c r="G49" s="25" t="inlineStr">
        <is>
          <t>out of 10</t>
        </is>
      </c>
      <c r="H49" s="23" t="n"/>
    </row>
  </sheetData>
  <mergeCells count="8">
    <mergeCell ref="A12:E12"/>
    <mergeCell ref="A4:E4"/>
    <mergeCell ref="A2:H2"/>
    <mergeCell ref="A40:E40"/>
    <mergeCell ref="A49:E49"/>
    <mergeCell ref="A23:E23"/>
    <mergeCell ref="A1:H1"/>
    <mergeCell ref="A31:E31"/>
  </mergeCells>
  <dataValidations count="3">
    <dataValidation sqref="D4:D47" showDropDown="0" showInputMessage="0" showErrorMessage="1" allowBlank="1" promptTitle="What else is it about?" prompt="The subjects this question is also about, beyond its own domain. Tick as many as apply. Leave it empty when there are none." type="list">
      <formula1>"Security,Privacy,Financial,Accessibility,Official Languages"</formula1>
    </dataValidation>
    <dataValidation sqref="E4:E47" showDropDown="0" showInputMessage="0" showErrorMessage="1" allowBlank="1" promptTitle="Scale or yes-or-no?" prompt="How this question is answered. Ours, and provisional: change it if it reads wrong." type="list">
      <formula1>"Scale 0-10,Yes / No"</formula1>
    </dataValidation>
    <dataValidation sqref="F4:F47" showDropDown="0" showInputMessage="0" showErrorMessage="1" allowBlank="1" promptTitle="The answer" prompt="A maturity score from 0 to 10, or Yes or No for a question that reads as one, or N/A when the question does not apply." type="list">
      <formula1>"0,1,2,3,4,5,6,7,8,9,10,Yes,No,N/A"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8" customWidth="1" min="1" max="1"/>
    <col width="16" customWidth="1" min="2" max="2"/>
    <col width="22" customWidth="1" min="3" max="3"/>
    <col width="92" customWidth="1" min="4" max="4"/>
  </cols>
  <sheetData>
    <row r="1" ht="30" customHeight="1">
      <c r="A1" s="6" t="inlineStr">
        <is>
          <t>GC Enterprise Architecture · Assessment Scale</t>
        </is>
      </c>
    </row>
    <row r="2">
      <c r="A2" s="26" t="inlineStr">
        <is>
          <t>Score</t>
        </is>
      </c>
      <c r="B2" s="26" t="inlineStr">
        <is>
          <t>Colour</t>
        </is>
      </c>
      <c r="C2" s="26" t="inlineStr">
        <is>
          <t>Label</t>
        </is>
      </c>
      <c r="D2" s="26" t="inlineStr">
        <is>
          <t>Description</t>
        </is>
      </c>
    </row>
    <row r="3">
      <c r="A3" s="27" t="n">
        <v>0</v>
      </c>
      <c r="B3" s="27" t="inlineStr">
        <is>
          <t>Black</t>
        </is>
      </c>
      <c r="C3" s="27" t="inlineStr">
        <is>
          <t>Absent</t>
        </is>
      </c>
      <c r="D3" s="15" t="inlineStr">
        <is>
          <t>No formal architecture. Capabilities are missing, and manual workarounds are the only way to achieve business outcomes.</t>
        </is>
      </c>
    </row>
    <row r="4">
      <c r="A4" s="28" t="n">
        <v>1</v>
      </c>
      <c r="B4" s="28" t="inlineStr">
        <is>
          <t>Dark Red</t>
        </is>
      </c>
      <c r="C4" s="28" t="inlineStr">
        <is>
          <t>Critical Gaps</t>
        </is>
      </c>
      <c r="D4" s="15" t="inlineStr">
        <is>
          <t>A skeleton exists, but core capabilities (like security or data integrity) are missing. High risk of systemic failure.</t>
        </is>
      </c>
    </row>
    <row r="5">
      <c r="A5" s="29" t="n">
        <v>2</v>
      </c>
      <c r="B5" s="29" t="inlineStr">
        <is>
          <t>Red</t>
        </is>
      </c>
      <c r="C5" s="29" t="inlineStr">
        <is>
          <t>Fragmented</t>
        </is>
      </c>
      <c r="D5" s="15" t="inlineStr">
        <is>
          <t>Capabilities exist in "silos." They are inconsistent, undocumented, and require constant manual intervention to stay synchronized.</t>
        </is>
      </c>
    </row>
    <row r="6">
      <c r="A6" s="30" t="n">
        <v>3</v>
      </c>
      <c r="B6" s="30" t="inlineStr">
        <is>
          <t>Orange</t>
        </is>
      </c>
      <c r="C6" s="30" t="inlineStr">
        <is>
          <t>Emergent</t>
        </is>
      </c>
      <c r="D6" s="15" t="inlineStr">
        <is>
          <t>Core capabilities are present but brittle. The architecture meets the "happy path" but fails under stress or edge cases.</t>
        </is>
      </c>
    </row>
    <row r="7">
      <c r="A7" s="31" t="n">
        <v>4</v>
      </c>
      <c r="B7" s="31" t="inlineStr">
        <is>
          <t>Orange-Yellow</t>
        </is>
      </c>
      <c r="C7" s="31" t="inlineStr">
        <is>
          <t>Defined</t>
        </is>
      </c>
      <c r="D7" s="15" t="inlineStr">
        <is>
          <t>The architecture meets basic functional requirements. Documentation exists, but Quality Attributes (scalability, maintainability) are an afterthought.</t>
        </is>
      </c>
    </row>
    <row r="8">
      <c r="A8" s="32" t="n">
        <v>5</v>
      </c>
      <c r="B8" s="32" t="inlineStr">
        <is>
          <t>Yellow</t>
        </is>
      </c>
      <c r="C8" s="32" t="inlineStr">
        <is>
          <t>Integrated</t>
        </is>
      </c>
      <c r="D8" s="15" t="inlineStr">
        <is>
          <t>This is the Baseline. All desired capabilities are present and connected. The system is stable and performs as expected under normal conditions.</t>
        </is>
      </c>
    </row>
    <row r="9">
      <c r="A9" s="33" t="n">
        <v>6</v>
      </c>
      <c r="B9" s="33" t="inlineStr">
        <is>
          <t>Yellow-Green</t>
        </is>
      </c>
      <c r="C9" s="33" t="inlineStr">
        <is>
          <t>Managed</t>
        </is>
      </c>
      <c r="D9" s="15" t="inlineStr">
        <is>
          <t>Capabilities are monitored and measured. The architecture can handle predictable growth and has basic fault tolerance.</t>
        </is>
      </c>
    </row>
    <row r="10">
      <c r="A10" s="34" t="n">
        <v>7</v>
      </c>
      <c r="B10" s="34" t="inlineStr">
        <is>
          <t>Green</t>
        </is>
      </c>
      <c r="C10" s="34" t="inlineStr">
        <is>
          <t>Scalable &amp; Secure</t>
        </is>
      </c>
      <c r="D10" s="15" t="inlineStr">
        <is>
          <t>The architecture is "hardened." It handles bursts in demand effortlessly and has proactive security measures built into the design.</t>
        </is>
      </c>
    </row>
    <row r="11">
      <c r="A11" s="35" t="n">
        <v>8</v>
      </c>
      <c r="B11" s="35" t="inlineStr">
        <is>
          <t>Dark Green</t>
        </is>
      </c>
      <c r="C11" s="35" t="inlineStr">
        <is>
          <t>Agile/Extensible</t>
        </is>
      </c>
      <c r="D11" s="15" t="inlineStr">
        <is>
          <t>The architecture is modular. Adding a new desired capability does not require a rewrite; the system is designed to be plugged into and extended.</t>
        </is>
      </c>
    </row>
    <row r="12">
      <c r="A12" s="36" t="n">
        <v>9</v>
      </c>
      <c r="B12" s="36" t="inlineStr">
        <is>
          <t>Blue</t>
        </is>
      </c>
      <c r="C12" s="36" t="inlineStr">
        <is>
          <t>Predictive</t>
        </is>
      </c>
      <c r="D12" s="15" t="inlineStr">
        <is>
          <t>The architecture uses telemetry and AI/ML to anticipate needs (e.g., auto-scaling before a spike or self-healing before a crash).</t>
        </is>
      </c>
    </row>
    <row r="13">
      <c r="A13" s="37" t="n">
        <v>10</v>
      </c>
      <c r="B13" s="37" t="inlineStr">
        <is>
          <t>Purple</t>
        </is>
      </c>
      <c r="C13" s="37" t="inlineStr">
        <is>
          <t>Symbiotic</t>
        </is>
      </c>
      <c r="D13" s="15" t="inlineStr">
        <is>
          <t>The "North Star" state. The architecture and business strategy are one. The system is so flexible it can pivot to entirely new business models with minimal architectural friction.</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46" customWidth="1" min="1" max="1"/>
    <col width="14" customWidth="1" min="2" max="2"/>
    <col width="24" customWidth="1" min="3" max="3"/>
    <col width="34" customWidth="1" min="4" max="4"/>
  </cols>
  <sheetData>
    <row r="1" ht="30" customHeight="1">
      <c r="A1" s="6" t="inlineStr">
        <is>
          <t>GC Enterprise Architecture Assessment · Summary Dashboard</t>
        </is>
      </c>
    </row>
    <row r="2">
      <c r="A2" s="38" t="inlineStr">
        <is>
          <t>Scores below are automatically calculated from the four architecture worksheets. Enter scores on each tab to populate this dashboard.</t>
        </is>
      </c>
      <c r="B2" s="38" t="n"/>
      <c r="C2" s="38" t="n"/>
      <c r="D2" s="38" t="n"/>
    </row>
    <row r="3">
      <c r="A3" s="15" t="inlineStr">
        <is>
          <t>Architecture Domain</t>
        </is>
      </c>
      <c r="B3" s="15" t="inlineStr">
        <is>
          <t>Score (0–10)</t>
        </is>
      </c>
      <c r="C3" s="15" t="inlineStr">
        <is>
          <t>Maturity Level</t>
        </is>
      </c>
      <c r="D3" s="15" t="inlineStr">
        <is>
          <t>GC EA Weight</t>
        </is>
      </c>
    </row>
    <row r="4">
      <c r="A4" s="15" t="inlineStr">
        <is>
          <t>Business Architecture</t>
        </is>
      </c>
      <c r="B4" s="39">
        <f>IFERROR('Business Architecture'!F72,"")</f>
        <v/>
      </c>
      <c r="C4" s="15">
        <f>IF(B4="","Awaiting input",IFERROR(VLOOKUP(ROUND(B4,0),'Assessment Scale'!$A$3:$C$13,3,FALSE),"Awaiting input"))</f>
        <v/>
      </c>
      <c r="D4" s="15" t="inlineStr">
        <is>
          <t>25% of overall GC EA score</t>
        </is>
      </c>
    </row>
    <row r="5">
      <c r="A5" s="15" t="inlineStr">
        <is>
          <t>Data &amp; Information Architecture</t>
        </is>
      </c>
      <c r="B5" s="39">
        <f>IFERROR('Data &amp; Information Architecture'!F49,"")</f>
        <v/>
      </c>
      <c r="C5" s="15">
        <f>IF(B5="","Awaiting input",IFERROR(VLOOKUP(ROUND(B5,0),'Assessment Scale'!$A$3:$C$13,3,FALSE),"Awaiting input"))</f>
        <v/>
      </c>
      <c r="D5" s="15" t="inlineStr">
        <is>
          <t>25% of overall GC EA score</t>
        </is>
      </c>
    </row>
    <row r="6">
      <c r="A6" s="15" t="inlineStr">
        <is>
          <t>Application &amp; Virtual Architecture</t>
        </is>
      </c>
      <c r="B6" s="39">
        <f>IFERROR('Application &amp; Virtual Architect'!F46,"")</f>
        <v/>
      </c>
      <c r="C6" s="15">
        <f>IF(B6="","Awaiting input",IFERROR(VLOOKUP(ROUND(B6,0),'Assessment Scale'!$A$3:$C$13,3,FALSE),"Awaiting input"))</f>
        <v/>
      </c>
      <c r="D6" s="15" t="inlineStr">
        <is>
          <t>25% of overall GC EA score</t>
        </is>
      </c>
    </row>
    <row r="7">
      <c r="A7" s="15" t="inlineStr">
        <is>
          <t>Technology &amp; Physical Architecture</t>
        </is>
      </c>
      <c r="B7" s="39">
        <f>IFERROR('Technology &amp; Physical Architect'!F49,"")</f>
        <v/>
      </c>
      <c r="C7" s="15">
        <f>IF(B7="","Awaiting input",IFERROR(VLOOKUP(ROUND(B7,0),'Assessment Scale'!$A$3:$C$13,3,FALSE),"Awaiting input"))</f>
        <v/>
      </c>
      <c r="D7" s="15" t="inlineStr">
        <is>
          <t>25% of overall GC EA score</t>
        </is>
      </c>
    </row>
    <row r="8"/>
    <row r="9"/>
    <row r="10">
      <c r="A10" s="40" t="inlineStr">
        <is>
          <t>OVERALL GC EA MATURITY SCORE</t>
        </is>
      </c>
      <c r="B10" s="41">
        <f>IFERROR(ROUND((N(B4)+N(B5)+N(B6)+N(B7))/((B4&lt;&gt;"")+(B5&lt;&gt;"")+(B6&lt;&gt;"")+(B7&lt;&gt;"")),1),"")</f>
        <v/>
      </c>
      <c r="C10" s="42">
        <f>IF(B10="","Awaiting input",IFERROR(VLOOKUP(ROUND(B10,0),'Assessment Scale'!$A$3:$C$13,3,FALSE),"Awaiting input"))</f>
        <v/>
      </c>
      <c r="D10" s="40" t="n"/>
    </row>
    <row r="12">
      <c r="A12" s="15" t="inlineStr">
        <is>
          <t>Score Reference Guide</t>
        </is>
      </c>
      <c r="B12" s="15" t="n"/>
      <c r="C12" s="15" t="n"/>
      <c r="D12" s="15" t="n"/>
    </row>
    <row r="13">
      <c r="A13" s="15" t="inlineStr">
        <is>
          <t>Score 0–2 — Critical Risk</t>
        </is>
      </c>
      <c r="B13" s="15" t="inlineStr">
        <is>
          <t>Immediate intervention required. Core capabilities absent or severely compromised.</t>
        </is>
      </c>
      <c r="C13" s="15" t="n"/>
      <c r="D13" s="15" t="n"/>
    </row>
    <row r="14">
      <c r="A14" s="15" t="inlineStr">
        <is>
          <t>Score 3–4 — Developing</t>
        </is>
      </c>
      <c r="B14" s="15" t="inlineStr">
        <is>
          <t>Foundational elements exist but architecture is immature and at risk under stress.</t>
        </is>
      </c>
      <c r="C14" s="15" t="n"/>
      <c r="D14" s="15" t="n"/>
    </row>
    <row r="15">
      <c r="A15" s="15" t="inlineStr">
        <is>
          <t>Score 5–6 — Baseline Ready</t>
        </is>
      </c>
      <c r="B15" s="15" t="inlineStr">
        <is>
          <t>Core capabilities present and stable. Meets minimum GC EA expectations.</t>
        </is>
      </c>
      <c r="C15" s="15" t="n"/>
      <c r="D15" s="15" t="n"/>
    </row>
    <row r="16">
      <c r="A16" s="15" t="inlineStr">
        <is>
          <t>Score 7–8 — Advanced</t>
        </is>
      </c>
      <c r="B16" s="15" t="inlineStr">
        <is>
          <t>Hardened, scalable, and modular. Demonstrably high-quality architecture.</t>
        </is>
      </c>
      <c r="C16" s="15" t="n"/>
      <c r="D16" s="15" t="n"/>
    </row>
    <row r="17">
      <c r="A17" s="15" t="inlineStr">
        <is>
          <t>Score 9–10 — Leading Practice</t>
        </is>
      </c>
      <c r="B17" s="15" t="inlineStr">
        <is>
          <t>Predictive, self-optimizing, fully aligned with business strategy.</t>
        </is>
      </c>
      <c r="C17" s="15" t="n"/>
      <c r="D17" s="15" t="n"/>
    </row>
    <row r="19">
      <c r="A19" s="43" t="inlineStr">
        <is>
          <t>Every number on this tab is calculated from the four question sheets. The four domains carry 25% each, and a domain with no answers yet is left out of the overall rather than counted as zero.</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2026-09-17T20:26:31Z</dcterms:created>
  <dcterms:modified xsi:type="dcterms:W3CDTF">2026-09-17T20:26:31Z</dcterms:modified>
</cp:coreProperties>
</file>