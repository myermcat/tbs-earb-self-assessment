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Business Architecture" sheetId="2" state="visible" r:id="rId2"/>
    <sheet name="Data &amp; Information Architecture" sheetId="3" state="visible" r:id="rId3"/>
    <sheet name="Application &amp; Virtual Architect" sheetId="4" state="visible" r:id="rId4"/>
    <sheet name="Technology &amp; Physical Architec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A1A1A"/>
      <sz val="18"/>
    </font>
    <font>
      <name val="Calibri"/>
      <color rgb="006B6B6B"/>
      <sz val="11"/>
    </font>
    <font>
      <name val="Calibri"/>
      <color rgb="001A1A1A"/>
      <sz val="11"/>
    </font>
    <font>
      <name val="Calibri"/>
      <b val="1"/>
      <color rgb="001A1A1A"/>
      <sz val="14"/>
    </font>
    <font>
      <name val="Calibri"/>
      <b val="1"/>
      <color rgb="00B03A2E"/>
      <sz val="14"/>
    </font>
    <font>
      <name val="Calibri"/>
      <b val="1"/>
      <color rgb="00FFFFFF"/>
      <sz val="15"/>
    </font>
    <font>
      <name val="Calibri"/>
      <color rgb="006B6B6B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sz val="10.5"/>
    </font>
    <font>
      <name val="Calibri"/>
      <b val="1"/>
      <color rgb="002E7D5B"/>
      <sz val="11"/>
    </font>
    <font>
      <name val="Calibri"/>
      <b val="1"/>
      <color rgb="007A4E9E"/>
      <sz val="11"/>
    </font>
    <font>
      <name val="Calibri"/>
      <b val="1"/>
      <color rgb="00A85C1E"/>
      <sz val="1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5F7F9"/>
      </patternFill>
    </fill>
    <fill>
      <patternFill patternType="solid">
        <fgColor rgb="002E7D5B"/>
      </patternFill>
    </fill>
    <fill>
      <patternFill patternType="solid">
        <fgColor rgb="007A4E9E"/>
      </patternFill>
    </fill>
    <fill>
      <patternFill patternType="solid">
        <fgColor rgb="00A85C1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indent="1"/>
    </xf>
    <xf numFmtId="0" fontId="7" fillId="0" borderId="0" pivotButton="0" quotePrefix="0" xfId="0"/>
    <xf numFmtId="0" fontId="8" fillId="2" borderId="1" applyAlignment="1" pivotButton="0" quotePrefix="0" xfId="0">
      <alignment horizontal="left" vertical="bottom" wrapText="1"/>
    </xf>
    <xf numFmtId="0" fontId="8" fillId="2" borderId="1" applyAlignment="1" pivotButton="0" quotePrefix="0" xfId="0">
      <alignment horizontal="center" vertical="bottom" wrapText="1"/>
    </xf>
    <xf numFmtId="0" fontId="9" fillId="3" borderId="0" applyAlignment="1" pivotButton="0" quotePrefix="0" xfId="0">
      <alignment vertical="center" indent="1"/>
    </xf>
    <xf numFmtId="0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9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vertical="center"/>
    </xf>
    <xf numFmtId="0" fontId="0" fillId="0" borderId="1" pivotButton="0" quotePrefix="0" xfId="0"/>
    <xf numFmtId="0" fontId="6" fillId="4" borderId="0" applyAlignment="1" pivotButton="0" quotePrefix="0" xfId="0">
      <alignment vertical="center" indent="1"/>
    </xf>
    <xf numFmtId="0" fontId="8" fillId="4" borderId="1" applyAlignment="1" pivotButton="0" quotePrefix="0" xfId="0">
      <alignment horizontal="left" vertical="bottom" wrapText="1"/>
    </xf>
    <xf numFmtId="0" fontId="8" fillId="4" borderId="1" applyAlignment="1" pivotButton="0" quotePrefix="0" xfId="0">
      <alignment horizontal="center" vertical="bottom" wrapText="1"/>
    </xf>
    <xf numFmtId="0" fontId="11" fillId="3" borderId="0" applyAlignment="1" pivotButton="0" quotePrefix="0" xfId="0">
      <alignment vertical="center" indent="1"/>
    </xf>
    <xf numFmtId="0" fontId="11" fillId="0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 indent="1"/>
    </xf>
    <xf numFmtId="0" fontId="8" fillId="5" borderId="1" applyAlignment="1" pivotButton="0" quotePrefix="0" xfId="0">
      <alignment horizontal="left" vertical="bottom" wrapText="1"/>
    </xf>
    <xf numFmtId="0" fontId="8" fillId="5" borderId="1" applyAlignment="1" pivotButton="0" quotePrefix="0" xfId="0">
      <alignment horizontal="center" vertical="bottom" wrapText="1"/>
    </xf>
    <xf numFmtId="0" fontId="12" fillId="3" borderId="0" applyAlignment="1" pivotButton="0" quotePrefix="0" xfId="0">
      <alignment vertical="center" indent="1"/>
    </xf>
    <xf numFmtId="0" fontId="12" fillId="0" borderId="1" applyAlignment="1" pivotButton="0" quotePrefix="0" xfId="0">
      <alignment horizontal="center" vertical="center"/>
    </xf>
    <xf numFmtId="0" fontId="6" fillId="6" borderId="0" applyAlignment="1" pivotButton="0" quotePrefix="0" xfId="0">
      <alignment vertical="center" indent="1"/>
    </xf>
    <xf numFmtId="0" fontId="8" fillId="6" borderId="1" applyAlignment="1" pivotButton="0" quotePrefix="0" xfId="0">
      <alignment horizontal="left" vertical="bottom" wrapText="1"/>
    </xf>
    <xf numFmtId="0" fontId="8" fillId="6" borderId="1" applyAlignment="1" pivotButton="0" quotePrefix="0" xfId="0">
      <alignment horizontal="center" vertical="bottom" wrapText="1"/>
    </xf>
    <xf numFmtId="0" fontId="13" fillId="3" borderId="0" applyAlignment="1" pivotButton="0" quotePrefix="0" xfId="0">
      <alignment vertical="center" indent="1"/>
    </xf>
    <xf numFmtId="0" fontId="1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1">
      <c r="B1" s="1" t="inlineStr">
        <is>
          <t>Accessibility and Official Languages have no questions today. A sweep of all 176 found official languages in two of them and accessibility in three, always in another sense: the FAIR principles’ "Accessible", and programming languages. Three hits is a gap in the instrument, not a category. They are on the list so the gap is visible, and they stay empty until questions exist that ask about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L7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6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6" customWidth="1" min="9" max="9"/>
    <col width="11" customWidth="1" min="10" max="10"/>
    <col width="16" customWidth="1" min="11" max="11"/>
    <col width="34" customWidth="1" min="12" max="12"/>
  </cols>
  <sheetData>
    <row r="1" ht="30" customHeight="1">
      <c r="A1" s="2" t="inlineStr">
        <is>
          <t>Business Architecture  ·  Connecting strategy to execution through structured design</t>
        </is>
      </c>
    </row>
    <row r="2">
      <c r="A2" s="3" t="inlineStr">
        <is>
          <t xml:space="preserve">   Overall weight in GC EA score: 25%</t>
        </is>
      </c>
    </row>
    <row r="3" ht="34" customHeight="1">
      <c r="A3" s="4" t="inlineStr">
        <is>
          <t>#</t>
        </is>
      </c>
      <c r="B3" s="4" t="inlineStr">
        <is>
          <t>Q#</t>
        </is>
      </c>
      <c r="C3" s="4" t="inlineStr">
        <is>
          <t>Assessment Question</t>
        </is>
      </c>
      <c r="D3" s="5" t="inlineStr">
        <is>
          <t>Security</t>
        </is>
      </c>
      <c r="E3" s="5" t="inlineStr">
        <is>
          <t>Privacy</t>
        </is>
      </c>
      <c r="F3" s="5" t="inlineStr">
        <is>
          <t>Financial</t>
        </is>
      </c>
      <c r="G3" s="5" t="inlineStr">
        <is>
          <t>Accessibility</t>
        </is>
      </c>
      <c r="H3" s="5" t="inlineStr">
        <is>
          <t>Official Languages</t>
        </is>
      </c>
      <c r="I3" s="5" t="inlineStr">
        <is>
          <t>Topics (filled in for you)</t>
        </is>
      </c>
      <c r="J3" s="5" t="inlineStr">
        <is>
          <t>Score (0–10)</t>
        </is>
      </c>
      <c r="K3" s="5" t="inlineStr">
        <is>
          <t>Maturity Label</t>
        </is>
      </c>
      <c r="L3" s="5" t="inlineStr">
        <is>
          <t>Notes / Evidence</t>
        </is>
      </c>
    </row>
    <row r="4" ht="24" customHeight="1">
      <c r="A4" s="6" t="inlineStr">
        <is>
          <t>Defining the Current State — Section weight: 5%</t>
        </is>
      </c>
    </row>
    <row r="5">
      <c r="A5" s="7" t="inlineStr">
        <is>
          <t>S1</t>
        </is>
      </c>
      <c r="B5" s="7" t="inlineStr">
        <is>
          <t>Q1</t>
        </is>
      </c>
      <c r="C5" s="8" t="inlineStr">
        <is>
          <t>How thoroughly has the current state of this solution been documented, including all processes, data flows, and system dependencies?</t>
        </is>
      </c>
      <c r="D5" s="9" t="n"/>
      <c r="E5" s="9" t="n"/>
      <c r="F5" s="9" t="n"/>
      <c r="G5" s="9" t="n"/>
      <c r="H5" s="9" t="n"/>
      <c r="I5" s="10">
        <f>TEXTJOIN(", ",TRUE,IF(D5="x","Security",""), IF(E5="x","Privacy",""), IF(F5="x","Financial",""), IF(G5="x","Accessibility",""), IF(H5="x","Official Languages",""))</f>
        <v/>
      </c>
      <c r="J5" s="11" t="n"/>
      <c r="K5" s="11" t="n"/>
      <c r="L5" s="11" t="n"/>
    </row>
    <row r="6">
      <c r="A6" s="7" t="inlineStr"/>
      <c r="B6" s="7" t="inlineStr">
        <is>
          <t>Q2</t>
        </is>
      </c>
      <c r="C6" s="8" t="inlineStr">
        <is>
          <t>What entities (data objects, records, clients, files) are currently produced, managed, or maintained by this solution?</t>
        </is>
      </c>
      <c r="D6" s="9" t="n"/>
      <c r="E6" s="9" t="n"/>
      <c r="F6" s="9" t="n"/>
      <c r="G6" s="9" t="n"/>
      <c r="H6" s="9" t="n"/>
      <c r="I6" s="10">
        <f>TEXTJOIN(", ",TRUE,IF(D6="x","Security",""), IF(E6="x","Privacy",""), IF(F6="x","Financial",""), IF(G6="x","Accessibility",""), IF(H6="x","Official Languages",""))</f>
        <v/>
      </c>
      <c r="J6" s="11" t="n"/>
      <c r="K6" s="11" t="n"/>
      <c r="L6" s="11" t="n"/>
    </row>
    <row r="7">
      <c r="A7" s="7" t="inlineStr"/>
      <c r="B7" s="7" t="inlineStr">
        <is>
          <t>Q3</t>
        </is>
      </c>
      <c r="C7" s="8" t="inlineStr">
        <is>
          <t>Have all roles and responsibilities across stakeholders, operators, and service consumers been identified, documented, and formally accepted?</t>
        </is>
      </c>
      <c r="D7" s="9" t="n"/>
      <c r="E7" s="9" t="n"/>
      <c r="F7" s="9" t="n"/>
      <c r="G7" s="9" t="n"/>
      <c r="H7" s="9" t="n"/>
      <c r="I7" s="10">
        <f>TEXTJOIN(", ",TRUE,IF(D7="x","Security",""), IF(E7="x","Privacy",""), IF(F7="x","Financial",""), IF(G7="x","Accessibility",""), IF(H7="x","Official Languages",""))</f>
        <v/>
      </c>
      <c r="J7" s="11" t="n"/>
      <c r="K7" s="11" t="n"/>
      <c r="L7" s="11" t="n"/>
    </row>
    <row r="8">
      <c r="A8" s="7" t="inlineStr"/>
      <c r="B8" s="7" t="inlineStr">
        <is>
          <t>Q4</t>
        </is>
      </c>
      <c r="C8" s="8" t="inlineStr">
        <is>
          <t>How well understood is the criticality of this solution to Government of Canada program delivery and citizen outcomes?</t>
        </is>
      </c>
      <c r="D8" s="9" t="n"/>
      <c r="E8" s="9" t="n"/>
      <c r="F8" s="9" t="n"/>
      <c r="G8" s="9" t="n"/>
      <c r="H8" s="9" t="n"/>
      <c r="I8" s="10">
        <f>TEXTJOIN(", ",TRUE,IF(D8="x","Security",""), IF(E8="x","Privacy",""), IF(F8="x","Financial",""), IF(G8="x","Accessibility",""), IF(H8="x","Official Languages",""))</f>
        <v/>
      </c>
      <c r="J8" s="11" t="n"/>
      <c r="K8" s="11" t="n"/>
      <c r="L8" s="11" t="n"/>
    </row>
    <row r="9">
      <c r="A9" s="7" t="inlineStr"/>
      <c r="B9" s="7" t="inlineStr">
        <is>
          <t>Q5</t>
        </is>
      </c>
      <c r="C9" s="8" t="inlineStr">
        <is>
          <t>Are all sub-components of the current solution assessed for their individual criticality, availability, and risk exposure?</t>
        </is>
      </c>
      <c r="D9" s="9" t="n"/>
      <c r="E9" s="9" t="n"/>
      <c r="F9" s="9" t="n"/>
      <c r="G9" s="9" t="n"/>
      <c r="H9" s="9" t="n"/>
      <c r="I9" s="10">
        <f>TEXTJOIN(", ",TRUE,IF(D9="x","Security",""), IF(E9="x","Privacy",""), IF(F9="x","Financial",""), IF(G9="x","Accessibility",""), IF(H9="x","Official Languages",""))</f>
        <v/>
      </c>
      <c r="J9" s="11" t="n"/>
      <c r="K9" s="11" t="n"/>
      <c r="L9" s="11" t="n"/>
    </row>
    <row r="10">
      <c r="A10" s="7" t="inlineStr"/>
      <c r="B10" s="7" t="inlineStr">
        <is>
          <t>Q6</t>
        </is>
      </c>
      <c r="C10" s="8" t="inlineStr">
        <is>
          <t>What is the current level of utilization and demand for the solution (transaction volumes, active users, peak load)?</t>
        </is>
      </c>
      <c r="D10" s="9" t="n"/>
      <c r="E10" s="9" t="n"/>
      <c r="F10" s="9" t="n"/>
      <c r="G10" s="9" t="n"/>
      <c r="H10" s="9" t="n"/>
      <c r="I10" s="10">
        <f>TEXTJOIN(", ",TRUE,IF(D10="x","Security",""), IF(E10="x","Privacy",""), IF(F10="x","Financial",""), IF(G10="x","Accessibility",""), IF(H10="x","Official Languages",""))</f>
        <v/>
      </c>
      <c r="J10" s="11" t="n"/>
      <c r="K10" s="11" t="n"/>
      <c r="L10" s="11" t="n"/>
    </row>
    <row r="11">
      <c r="A11" s="7" t="inlineStr"/>
      <c r="B11" s="7" t="inlineStr">
        <is>
          <t>Q7</t>
        </is>
      </c>
      <c r="C11" s="8" t="inlineStr">
        <is>
          <t>What is the known availability, uptime, and service continuity record of the current solution?</t>
        </is>
      </c>
      <c r="D11" s="9" t="n"/>
      <c r="E11" s="9" t="n"/>
      <c r="F11" s="9" t="n"/>
      <c r="G11" s="9" t="n"/>
      <c r="H11" s="9" t="n"/>
      <c r="I11" s="10">
        <f>TEXTJOIN(", ",TRUE,IF(D11="x","Security",""), IF(E11="x","Privacy",""), IF(F11="x","Financial",""), IF(G11="x","Accessibility",""), IF(H11="x","Official Languages",""))</f>
        <v/>
      </c>
      <c r="J11" s="11" t="n"/>
      <c r="K11" s="11" t="n"/>
      <c r="L11" s="11" t="n"/>
    </row>
    <row r="12">
      <c r="A12" s="7" t="inlineStr"/>
      <c r="B12" s="7" t="inlineStr">
        <is>
          <t>Q8</t>
        </is>
      </c>
      <c r="C12" s="8" t="inlineStr">
        <is>
          <t>How well understood are the total lifecycle costs — including build, operate, maintain, and decommission — of the current solution?</t>
        </is>
      </c>
      <c r="D12" s="9" t="n"/>
      <c r="E12" s="9" t="n"/>
      <c r="F12" s="9" t="inlineStr">
        <is>
          <t>x</t>
        </is>
      </c>
      <c r="G12" s="9" t="n"/>
      <c r="H12" s="9" t="n"/>
      <c r="I12" s="10">
        <f>TEXTJOIN(", ",TRUE,IF(D12="x","Security",""), IF(E12="x","Privacy",""), IF(F12="x","Financial",""), IF(G12="x","Accessibility",""), IF(H12="x","Official Languages",""))</f>
        <v/>
      </c>
      <c r="J12" s="11" t="n"/>
      <c r="K12" s="11" t="n"/>
      <c r="L12" s="11" t="n"/>
    </row>
    <row r="13">
      <c r="A13" s="7" t="inlineStr"/>
      <c r="B13" s="7" t="inlineStr">
        <is>
          <t>Q9</t>
        </is>
      </c>
      <c r="C13" s="8" t="inlineStr">
        <is>
          <t>What are the current unit economics (cost per transaction, cost per entity managed) and how are they tracked?</t>
        </is>
      </c>
      <c r="D13" s="9" t="n"/>
      <c r="E13" s="9" t="n"/>
      <c r="F13" s="9" t="inlineStr">
        <is>
          <t>x</t>
        </is>
      </c>
      <c r="G13" s="9" t="n"/>
      <c r="H13" s="9" t="n"/>
      <c r="I13" s="10">
        <f>TEXTJOIN(", ",TRUE,IF(D13="x","Security",""), IF(E13="x","Privacy",""), IF(F13="x","Financial",""), IF(G13="x","Accessibility",""), IF(H13="x","Official Languages",""))</f>
        <v/>
      </c>
      <c r="J13" s="11" t="n"/>
      <c r="K13" s="11" t="n"/>
      <c r="L13" s="11" t="n"/>
    </row>
    <row r="14">
      <c r="A14" s="7" t="inlineStr"/>
      <c r="B14" s="7" t="inlineStr">
        <is>
          <t>Q10</t>
        </is>
      </c>
      <c r="C14" s="8" t="inlineStr">
        <is>
          <t>How mature and current are the performance indicators for this solution, and what trends do they reflect?</t>
        </is>
      </c>
      <c r="D14" s="9" t="n"/>
      <c r="E14" s="9" t="n"/>
      <c r="F14" s="9" t="n"/>
      <c r="G14" s="9" t="n"/>
      <c r="H14" s="9" t="n"/>
      <c r="I14" s="10">
        <f>TEXTJOIN(", ",TRUE,IF(D14="x","Security",""), IF(E14="x","Privacy",""), IF(F14="x","Financial",""), IF(G14="x","Accessibility",""), IF(H14="x","Official Languages",""))</f>
        <v/>
      </c>
      <c r="J14" s="11" t="n"/>
      <c r="K14" s="11" t="n"/>
      <c r="L14" s="11" t="n"/>
    </row>
    <row r="15">
      <c r="A15" s="7" t="inlineStr"/>
      <c r="B15" s="7" t="inlineStr">
        <is>
          <t>Q11</t>
        </is>
      </c>
      <c r="C15" s="8" t="inlineStr">
        <is>
          <t>Is the lifespan and full lifecycle of the solution mapped out, and is the current position within that lifecycle known?</t>
        </is>
      </c>
      <c r="D15" s="9" t="n"/>
      <c r="E15" s="9" t="n"/>
      <c r="F15" s="9" t="n"/>
      <c r="G15" s="9" t="n"/>
      <c r="H15" s="9" t="n"/>
      <c r="I15" s="10">
        <f>TEXTJOIN(", ",TRUE,IF(D15="x","Security",""), IF(E15="x","Privacy",""), IF(F15="x","Financial",""), IF(G15="x","Accessibility",""), IF(H15="x","Official Languages",""))</f>
        <v/>
      </c>
      <c r="J15" s="11" t="n"/>
      <c r="K15" s="11" t="n"/>
      <c r="L15" s="11" t="n"/>
    </row>
    <row r="16">
      <c r="A16" s="7" t="inlineStr"/>
      <c r="B16" s="7" t="inlineStr">
        <is>
          <t>Q12</t>
        </is>
      </c>
      <c r="C16" s="8" t="inlineStr">
        <is>
          <t>What major events (technology refresh, contract renewal, legislative changes) are on the horizon for this solution?</t>
        </is>
      </c>
      <c r="D16" s="9" t="n"/>
      <c r="E16" s="9" t="n"/>
      <c r="F16" s="9" t="n"/>
      <c r="G16" s="9" t="n"/>
      <c r="H16" s="9" t="n"/>
      <c r="I16" s="10">
        <f>TEXTJOIN(", ",TRUE,IF(D16="x","Security",""), IF(E16="x","Privacy",""), IF(F16="x","Financial",""), IF(G16="x","Accessibility",""), IF(H16="x","Official Languages",""))</f>
        <v/>
      </c>
      <c r="J16" s="11" t="n"/>
      <c r="K16" s="11" t="n"/>
      <c r="L16" s="11" t="n"/>
    </row>
    <row r="17">
      <c r="A17" s="7" t="inlineStr"/>
      <c r="B17" s="7" t="inlineStr">
        <is>
          <t>Q13</t>
        </is>
      </c>
      <c r="C17" s="8" t="inlineStr">
        <is>
          <t>How well understood are the specific skills, staffing levels, and capacity requirements to operate and evolve this solution?</t>
        </is>
      </c>
      <c r="D17" s="9" t="n"/>
      <c r="E17" s="9" t="n"/>
      <c r="F17" s="9" t="n"/>
      <c r="G17" s="9" t="n"/>
      <c r="H17" s="9" t="n"/>
      <c r="I17" s="10">
        <f>TEXTJOIN(", ",TRUE,IF(D17="x","Security",""), IF(E17="x","Privacy",""), IF(F17="x","Financial",""), IF(G17="x","Accessibility",""), IF(H17="x","Official Languages",""))</f>
        <v/>
      </c>
      <c r="J17" s="11" t="n"/>
      <c r="K17" s="11" t="n"/>
      <c r="L17" s="11" t="n"/>
    </row>
    <row r="18">
      <c r="A18" s="7" t="inlineStr"/>
      <c r="B18" s="7" t="inlineStr">
        <is>
          <t>Q14</t>
        </is>
      </c>
      <c r="C18" s="8" t="inlineStr">
        <is>
          <t>How are universal requirements — accessibility, official languages, inclusion, and privacy — currently addressed in the solution?</t>
        </is>
      </c>
      <c r="D18" s="9" t="n"/>
      <c r="E18" s="9" t="inlineStr">
        <is>
          <t>x</t>
        </is>
      </c>
      <c r="F18" s="9" t="n"/>
      <c r="G18" s="9" t="n"/>
      <c r="H18" s="9" t="n"/>
      <c r="I18" s="10">
        <f>TEXTJOIN(", ",TRUE,IF(D18="x","Security",""), IF(E18="x","Privacy",""), IF(F18="x","Financial",""), IF(G18="x","Accessibility",""), IF(H18="x","Official Languages",""))</f>
        <v/>
      </c>
      <c r="J18" s="11" t="n"/>
      <c r="K18" s="11" t="n"/>
      <c r="L18" s="11" t="n"/>
    </row>
    <row r="19" ht="24" customHeight="1">
      <c r="A19" s="6" t="inlineStr">
        <is>
          <t>Defining the Business Solution — Section weight: 25%</t>
        </is>
      </c>
    </row>
    <row r="20">
      <c r="A20" s="7" t="inlineStr">
        <is>
          <t>S2</t>
        </is>
      </c>
      <c r="B20" s="7" t="inlineStr">
        <is>
          <t>Q15</t>
        </is>
      </c>
      <c r="C20" s="8" t="inlineStr">
        <is>
          <t>How clearly and completely has the core business problem been defined and agreed upon by all stakeholders?</t>
        </is>
      </c>
      <c r="D20" s="9" t="n"/>
      <c r="E20" s="9" t="n"/>
      <c r="F20" s="9" t="n"/>
      <c r="G20" s="9" t="n"/>
      <c r="H20" s="9" t="n"/>
      <c r="I20" s="10">
        <f>TEXTJOIN(", ",TRUE,IF(D20="x","Security",""), IF(E20="x","Privacy",""), IF(F20="x","Financial",""), IF(G20="x","Accessibility",""), IF(H20="x","Official Languages",""))</f>
        <v/>
      </c>
      <c r="J20" s="11" t="n"/>
      <c r="K20" s="11" t="n"/>
      <c r="L20" s="11" t="n"/>
    </row>
    <row r="21">
      <c r="A21" s="7" t="inlineStr"/>
      <c r="B21" s="7" t="inlineStr">
        <is>
          <t>Q16</t>
        </is>
      </c>
      <c r="C21" s="8" t="inlineStr">
        <is>
          <t>Is there a documented business case that articulates the expected value, outcomes, and measurable benefits of the proposed solution?</t>
        </is>
      </c>
      <c r="D21" s="9" t="n"/>
      <c r="E21" s="9" t="n"/>
      <c r="F21" s="9" t="inlineStr">
        <is>
          <t>x</t>
        </is>
      </c>
      <c r="G21" s="9" t="n"/>
      <c r="H21" s="9" t="n"/>
      <c r="I21" s="10">
        <f>TEXTJOIN(", ",TRUE,IF(D21="x","Security",""), IF(E21="x","Privacy",""), IF(F21="x","Financial",""), IF(G21="x","Accessibility",""), IF(H21="x","Official Languages",""))</f>
        <v/>
      </c>
      <c r="J21" s="11" t="n"/>
      <c r="K21" s="11" t="n"/>
      <c r="L21" s="11" t="n"/>
    </row>
    <row r="22">
      <c r="A22" s="7" t="inlineStr"/>
      <c r="B22" s="7" t="inlineStr">
        <is>
          <t>Q17</t>
        </is>
      </c>
      <c r="C22" s="8" t="inlineStr">
        <is>
          <t>How well do the proposed solution capabilities map to the GC Business Capability Model and existing enterprise services?</t>
        </is>
      </c>
      <c r="D22" s="9" t="n"/>
      <c r="E22" s="9" t="n"/>
      <c r="F22" s="9" t="n"/>
      <c r="G22" s="9" t="n"/>
      <c r="H22" s="9" t="n"/>
      <c r="I22" s="10">
        <f>TEXTJOIN(", ",TRUE,IF(D22="x","Security",""), IF(E22="x","Privacy",""), IF(F22="x","Financial",""), IF(G22="x","Accessibility",""), IF(H22="x","Official Languages",""))</f>
        <v/>
      </c>
      <c r="J22" s="11" t="n"/>
      <c r="K22" s="11" t="n"/>
      <c r="L22" s="11" t="n"/>
    </row>
    <row r="23">
      <c r="A23" s="7" t="inlineStr"/>
      <c r="B23" s="7" t="inlineStr">
        <is>
          <t>Q18</t>
        </is>
      </c>
      <c r="C23" s="8" t="inlineStr">
        <is>
          <t>Have value streams been fully mapped, showing how business capabilities deliver outcomes to clients and citizens?</t>
        </is>
      </c>
      <c r="D23" s="9" t="n"/>
      <c r="E23" s="9" t="n"/>
      <c r="F23" s="9" t="n"/>
      <c r="G23" s="9" t="n"/>
      <c r="H23" s="9" t="n"/>
      <c r="I23" s="10">
        <f>TEXTJOIN(", ",TRUE,IF(D23="x","Security",""), IF(E23="x","Privacy",""), IF(F23="x","Financial",""), IF(G23="x","Accessibility",""), IF(H23="x","Official Languages",""))</f>
        <v/>
      </c>
      <c r="J23" s="11" t="n"/>
      <c r="K23" s="11" t="n"/>
      <c r="L23" s="11" t="n"/>
    </row>
    <row r="24">
      <c r="A24" s="7" t="inlineStr"/>
      <c r="B24" s="7" t="inlineStr">
        <is>
          <t>Q19</t>
        </is>
      </c>
      <c r="C24" s="8" t="inlineStr">
        <is>
          <t>Is the solution design driven by defined user personas, journeys, and evidence-based user research?</t>
        </is>
      </c>
      <c r="D24" s="9" t="n"/>
      <c r="E24" s="9" t="n"/>
      <c r="F24" s="9" t="n"/>
      <c r="G24" s="9" t="n"/>
      <c r="H24" s="9" t="n"/>
      <c r="I24" s="10">
        <f>TEXTJOIN(", ",TRUE,IF(D24="x","Security",""), IF(E24="x","Privacy",""), IF(F24="x","Financial",""), IF(G24="x","Accessibility",""), IF(H24="x","Official Languages",""))</f>
        <v/>
      </c>
      <c r="J24" s="11" t="n"/>
      <c r="K24" s="11" t="n"/>
      <c r="L24" s="11" t="n"/>
    </row>
    <row r="25">
      <c r="A25" s="7" t="inlineStr"/>
      <c r="B25" s="7" t="inlineStr">
        <is>
          <t>Q20</t>
        </is>
      </c>
      <c r="C25" s="8" t="inlineStr">
        <is>
          <t>How clearly are the target service levels, response times, and quality benchmarks defined for the proposed solution?</t>
        </is>
      </c>
      <c r="D25" s="9" t="n"/>
      <c r="E25" s="9" t="n"/>
      <c r="F25" s="9" t="n"/>
      <c r="G25" s="9" t="n"/>
      <c r="H25" s="9" t="n"/>
      <c r="I25" s="10">
        <f>TEXTJOIN(", ",TRUE,IF(D25="x","Security",""), IF(E25="x","Privacy",""), IF(F25="x","Financial",""), IF(G25="x","Accessibility",""), IF(H25="x","Official Languages",""))</f>
        <v/>
      </c>
      <c r="J25" s="11" t="n"/>
      <c r="K25" s="11" t="n"/>
      <c r="L25" s="11" t="n"/>
    </row>
    <row r="26">
      <c r="A26" s="7" t="inlineStr"/>
      <c r="B26" s="7" t="inlineStr">
        <is>
          <t>Q21</t>
        </is>
      </c>
      <c r="C26" s="8" t="inlineStr">
        <is>
          <t>Has the solution's criticality to GC program delivery been assessed, and does the architecture reflect that criticality?</t>
        </is>
      </c>
      <c r="D26" s="9" t="n"/>
      <c r="E26" s="9" t="n"/>
      <c r="F26" s="9" t="n"/>
      <c r="G26" s="9" t="n"/>
      <c r="H26" s="9" t="n"/>
      <c r="I26" s="10">
        <f>TEXTJOIN(", ",TRUE,IF(D26="x","Security",""), IF(E26="x","Privacy",""), IF(F26="x","Financial",""), IF(G26="x","Accessibility",""), IF(H26="x","Official Languages",""))</f>
        <v/>
      </c>
      <c r="J26" s="11" t="n"/>
      <c r="K26" s="11" t="n"/>
      <c r="L26" s="11" t="n"/>
    </row>
    <row r="27">
      <c r="A27" s="7" t="inlineStr"/>
      <c r="B27" s="7" t="inlineStr">
        <is>
          <t>Q22</t>
        </is>
      </c>
      <c r="C27" s="8" t="inlineStr">
        <is>
          <t>Is there a funding model and sourcing strategy that is sustainable across the full lifecycle of the solution?</t>
        </is>
      </c>
      <c r="D27" s="9" t="n"/>
      <c r="E27" s="9" t="n"/>
      <c r="F27" s="9" t="inlineStr">
        <is>
          <t>x</t>
        </is>
      </c>
      <c r="G27" s="9" t="n"/>
      <c r="H27" s="9" t="n"/>
      <c r="I27" s="10">
        <f>TEXTJOIN(", ",TRUE,IF(D27="x","Security",""), IF(E27="x","Privacy",""), IF(F27="x","Financial",""), IF(G27="x","Accessibility",""), IF(H27="x","Official Languages",""))</f>
        <v/>
      </c>
      <c r="J27" s="11" t="n"/>
      <c r="K27" s="11" t="n"/>
      <c r="L27" s="11" t="n"/>
    </row>
    <row r="28">
      <c r="A28" s="7" t="inlineStr"/>
      <c r="B28" s="7" t="inlineStr">
        <is>
          <t>Q23</t>
        </is>
      </c>
      <c r="C28" s="8" t="inlineStr">
        <is>
          <t>How well is the talent strategy defined, including required skills, existing capacity, training pipeline, and long-term retention?</t>
        </is>
      </c>
      <c r="D28" s="9" t="n"/>
      <c r="E28" s="9" t="n"/>
      <c r="F28" s="9" t="n"/>
      <c r="G28" s="9" t="n"/>
      <c r="H28" s="9" t="n"/>
      <c r="I28" s="10">
        <f>TEXTJOIN(", ",TRUE,IF(D28="x","Security",""), IF(E28="x","Privacy",""), IF(F28="x","Financial",""), IF(G28="x","Accessibility",""), IF(H28="x","Official Languages",""))</f>
        <v/>
      </c>
      <c r="J28" s="11" t="n"/>
      <c r="K28" s="11" t="n"/>
      <c r="L28" s="11" t="n"/>
    </row>
    <row r="29">
      <c r="A29" s="7" t="inlineStr"/>
      <c r="B29" s="7" t="inlineStr">
        <is>
          <t>Q24</t>
        </is>
      </c>
      <c r="C29" s="8" t="inlineStr">
        <is>
          <t>Is a demand forecast available, and does the solution design account for projected growth and usage variability?</t>
        </is>
      </c>
      <c r="D29" s="9" t="n"/>
      <c r="E29" s="9" t="n"/>
      <c r="F29" s="9" t="n"/>
      <c r="G29" s="9" t="n"/>
      <c r="H29" s="9" t="n"/>
      <c r="I29" s="10">
        <f>TEXTJOIN(", ",TRUE,IF(D29="x","Security",""), IF(E29="x","Privacy",""), IF(F29="x","Financial",""), IF(G29="x","Accessibility",""), IF(H29="x","Official Languages",""))</f>
        <v/>
      </c>
      <c r="J29" s="11" t="n"/>
      <c r="K29" s="11" t="n"/>
      <c r="L29" s="11" t="n"/>
    </row>
    <row r="30">
      <c r="A30" s="7" t="inlineStr"/>
      <c r="B30" s="7" t="inlineStr">
        <is>
          <t>Q25</t>
        </is>
      </c>
      <c r="C30" s="8" t="inlineStr">
        <is>
          <t>How well is the solution integrated within the broader GC enterprise ecosystem and aligned with whole-of-government priorities?</t>
        </is>
      </c>
      <c r="D30" s="9" t="n"/>
      <c r="E30" s="9" t="n"/>
      <c r="F30" s="9" t="n"/>
      <c r="G30" s="9" t="n"/>
      <c r="H30" s="9" t="n"/>
      <c r="I30" s="10">
        <f>TEXTJOIN(", ",TRUE,IF(D30="x","Security",""), IF(E30="x","Privacy",""), IF(F30="x","Financial",""), IF(G30="x","Accessibility",""), IF(H30="x","Official Languages",""))</f>
        <v/>
      </c>
      <c r="J30" s="11" t="n"/>
      <c r="K30" s="11" t="n"/>
      <c r="L30" s="11" t="n"/>
    </row>
    <row r="31">
      <c r="A31" s="7" t="inlineStr"/>
      <c r="B31" s="7" t="inlineStr">
        <is>
          <t>Q26</t>
        </is>
      </c>
      <c r="C31" s="8" t="inlineStr">
        <is>
          <t>Is the solution designed to maximize reuse of existing GC shared services and platforms before building new capabilities?</t>
        </is>
      </c>
      <c r="D31" s="9" t="n"/>
      <c r="E31" s="9" t="n"/>
      <c r="F31" s="9" t="n"/>
      <c r="G31" s="9" t="n"/>
      <c r="H31" s="9" t="n"/>
      <c r="I31" s="10">
        <f>TEXTJOIN(", ",TRUE,IF(D31="x","Security",""), IF(E31="x","Privacy",""), IF(F31="x","Financial",""), IF(G31="x","Accessibility",""), IF(H31="x","Official Languages",""))</f>
        <v/>
      </c>
      <c r="J31" s="11" t="n"/>
      <c r="K31" s="11" t="n"/>
      <c r="L31" s="11" t="n"/>
    </row>
    <row r="32">
      <c r="A32" s="7" t="inlineStr"/>
      <c r="B32" s="7" t="inlineStr">
        <is>
          <t>Q27</t>
        </is>
      </c>
      <c r="C32" s="8" t="inlineStr">
        <is>
          <t>How transparent is the solution design — is it documented, accessible, and understandable to those who rely on it?</t>
        </is>
      </c>
      <c r="D32" s="9" t="n"/>
      <c r="E32" s="9" t="n"/>
      <c r="F32" s="9" t="n"/>
      <c r="G32" s="9" t="n"/>
      <c r="H32" s="9" t="n"/>
      <c r="I32" s="10">
        <f>TEXTJOIN(", ",TRUE,IF(D32="x","Security",""), IF(E32="x","Privacy",""), IF(F32="x","Financial",""), IF(G32="x","Accessibility",""), IF(H32="x","Official Languages",""))</f>
        <v/>
      </c>
      <c r="J32" s="11" t="n"/>
      <c r="K32" s="11" t="n"/>
      <c r="L32" s="11" t="n"/>
    </row>
    <row r="33" ht="24" customHeight="1">
      <c r="A33" s="6" t="inlineStr">
        <is>
          <t>Demonstrated Engagement — Section weight: 10%</t>
        </is>
      </c>
    </row>
    <row r="34">
      <c r="A34" s="7" t="inlineStr">
        <is>
          <t>S3</t>
        </is>
      </c>
      <c r="B34" s="7" t="inlineStr">
        <is>
          <t>Q28</t>
        </is>
      </c>
      <c r="C34" s="8" t="inlineStr">
        <is>
          <t>Have user personas, stories, and journeys been mapped and validated through direct engagement with actual users and stakeholders?</t>
        </is>
      </c>
      <c r="D34" s="9" t="n"/>
      <c r="E34" s="9" t="n"/>
      <c r="F34" s="9" t="n"/>
      <c r="G34" s="9" t="n"/>
      <c r="H34" s="9" t="n"/>
      <c r="I34" s="10">
        <f>TEXTJOIN(", ",TRUE,IF(D34="x","Security",""), IF(E34="x","Privacy",""), IF(F34="x","Financial",""), IF(G34="x","Accessibility",""), IF(H34="x","Official Languages",""))</f>
        <v/>
      </c>
      <c r="J34" s="11" t="n"/>
      <c r="K34" s="11" t="n"/>
      <c r="L34" s="11" t="n"/>
    </row>
    <row r="35">
      <c r="A35" s="7" t="inlineStr"/>
      <c r="B35" s="7" t="inlineStr">
        <is>
          <t>Q29</t>
        </is>
      </c>
      <c r="C35" s="8" t="inlineStr">
        <is>
          <t>Are there formal, repeatable mechanisms to capture client, user, and stakeholder needs on a continuous basis?</t>
        </is>
      </c>
      <c r="D35" s="9" t="n"/>
      <c r="E35" s="9" t="n"/>
      <c r="F35" s="9" t="n"/>
      <c r="G35" s="9" t="n"/>
      <c r="H35" s="9" t="n"/>
      <c r="I35" s="10">
        <f>TEXTJOIN(", ",TRUE,IF(D35="x","Security",""), IF(E35="x","Privacy",""), IF(F35="x","Financial",""), IF(G35="x","Accessibility",""), IF(H35="x","Official Languages",""))</f>
        <v/>
      </c>
      <c r="J35" s="11" t="n"/>
      <c r="K35" s="11" t="n"/>
      <c r="L35" s="11" t="n"/>
    </row>
    <row r="36">
      <c r="A36" s="7" t="inlineStr"/>
      <c r="B36" s="7" t="inlineStr">
        <is>
          <t>Q30</t>
        </is>
      </c>
      <c r="C36" s="8" t="inlineStr">
        <is>
          <t>How mature are feedback loops between the delivery team and end users, including Communities of Practice and regular reviews?</t>
        </is>
      </c>
      <c r="D36" s="9" t="n"/>
      <c r="E36" s="9" t="n"/>
      <c r="F36" s="9" t="n"/>
      <c r="G36" s="9" t="n"/>
      <c r="H36" s="9" t="n"/>
      <c r="I36" s="10">
        <f>TEXTJOIN(", ",TRUE,IF(D36="x","Security",""), IF(E36="x","Privacy",""), IF(F36="x","Financial",""), IF(G36="x","Accessibility",""), IF(H36="x","Official Languages",""))</f>
        <v/>
      </c>
      <c r="J36" s="11" t="n"/>
      <c r="K36" s="11" t="n"/>
      <c r="L36" s="11" t="n"/>
    </row>
    <row r="37">
      <c r="A37" s="7" t="inlineStr"/>
      <c r="B37" s="7" t="inlineStr">
        <is>
          <t>Q31</t>
        </is>
      </c>
      <c r="C37" s="8" t="inlineStr">
        <is>
          <t>Are all roles, accountabilities, and decision rights across the solution ecosystem clearly documented in a RACI or equivalent model?</t>
        </is>
      </c>
      <c r="D37" s="9" t="n"/>
      <c r="E37" s="9" t="n"/>
      <c r="F37" s="9" t="n"/>
      <c r="G37" s="9" t="n"/>
      <c r="H37" s="9" t="n"/>
      <c r="I37" s="10">
        <f>TEXTJOIN(", ",TRUE,IF(D37="x","Security",""), IF(E37="x","Privacy",""), IF(F37="x","Financial",""), IF(G37="x","Accessibility",""), IF(H37="x","Official Languages",""))</f>
        <v/>
      </c>
      <c r="J37" s="11" t="n"/>
      <c r="K37" s="11" t="n"/>
      <c r="L37" s="11" t="n"/>
    </row>
    <row r="38">
      <c r="A38" s="7" t="inlineStr"/>
      <c r="B38" s="7" t="inlineStr">
        <is>
          <t>Q32</t>
        </is>
      </c>
      <c r="C38" s="8" t="inlineStr">
        <is>
          <t>Is solution documentation, interactive guidance, and self-service assistance available and actively maintained for all user types?</t>
        </is>
      </c>
      <c r="D38" s="9" t="n"/>
      <c r="E38" s="9" t="n"/>
      <c r="F38" s="9" t="n"/>
      <c r="G38" s="9" t="n"/>
      <c r="H38" s="9" t="n"/>
      <c r="I38" s="10">
        <f>TEXTJOIN(", ",TRUE,IF(D38="x","Security",""), IF(E38="x","Privacy",""), IF(F38="x","Financial",""), IF(G38="x","Accessibility",""), IF(H38="x","Official Languages",""))</f>
        <v/>
      </c>
      <c r="J38" s="11" t="n"/>
      <c r="K38" s="11" t="n"/>
      <c r="L38" s="11" t="n"/>
    </row>
    <row r="39">
      <c r="A39" s="7" t="inlineStr"/>
      <c r="B39" s="7" t="inlineStr">
        <is>
          <t>Q33</t>
        </is>
      </c>
      <c r="C39" s="8" t="inlineStr">
        <is>
          <t>How transparent is the operational status of the solution, including an offering roadmap and historical event schedule?</t>
        </is>
      </c>
      <c r="D39" s="9" t="n"/>
      <c r="E39" s="9" t="n"/>
      <c r="F39" s="9" t="n"/>
      <c r="G39" s="9" t="n"/>
      <c r="H39" s="9" t="n"/>
      <c r="I39" s="10">
        <f>TEXTJOIN(", ",TRUE,IF(D39="x","Security",""), IF(E39="x","Privacy",""), IF(F39="x","Financial",""), IF(G39="x","Accessibility",""), IF(H39="x","Official Languages",""))</f>
        <v/>
      </c>
      <c r="J39" s="11" t="n"/>
      <c r="K39" s="11" t="n"/>
      <c r="L39" s="11" t="n"/>
    </row>
    <row r="40">
      <c r="A40" s="7" t="inlineStr"/>
      <c r="B40" s="7" t="inlineStr">
        <is>
          <t>Q34</t>
        </is>
      </c>
      <c r="C40" s="8" t="inlineStr">
        <is>
          <t>Are performance metrics (NPS, CSAT, CES, usage rates, drop-off rates) defined, measured, and reported back to stakeholders?</t>
        </is>
      </c>
      <c r="D40" s="9" t="n"/>
      <c r="E40" s="9" t="n"/>
      <c r="F40" s="9" t="n"/>
      <c r="G40" s="9" t="n"/>
      <c r="H40" s="9" t="n"/>
      <c r="I40" s="10">
        <f>TEXTJOIN(", ",TRUE,IF(D40="x","Security",""), IF(E40="x","Privacy",""), IF(F40="x","Financial",""), IF(G40="x","Accessibility",""), IF(H40="x","Official Languages",""))</f>
        <v/>
      </c>
      <c r="J40" s="11" t="n"/>
      <c r="K40" s="11" t="n"/>
      <c r="L40" s="11" t="n"/>
    </row>
    <row r="41">
      <c r="A41" s="7" t="inlineStr"/>
      <c r="B41" s="7" t="inlineStr">
        <is>
          <t>Q35</t>
        </is>
      </c>
      <c r="C41" s="8" t="inlineStr">
        <is>
          <t>Does the solution support multi-channel delivery patterns (web, chat, phone, in-person) that reflect real user demand?</t>
        </is>
      </c>
      <c r="D41" s="9" t="n"/>
      <c r="E41" s="9" t="n"/>
      <c r="F41" s="9" t="n"/>
      <c r="G41" s="9" t="n"/>
      <c r="H41" s="9" t="n"/>
      <c r="I41" s="10">
        <f>TEXTJOIN(", ",TRUE,IF(D41="x","Security",""), IF(E41="x","Privacy",""), IF(F41="x","Financial",""), IF(G41="x","Accessibility",""), IF(H41="x","Official Languages",""))</f>
        <v/>
      </c>
      <c r="J41" s="11" t="n"/>
      <c r="K41" s="11" t="n"/>
      <c r="L41" s="11" t="n"/>
    </row>
    <row r="42">
      <c r="A42" s="7" t="inlineStr"/>
      <c r="B42" s="7" t="inlineStr">
        <is>
          <t>Q36</t>
        </is>
      </c>
      <c r="C42" s="8" t="inlineStr">
        <is>
          <t>How mature are personalization, predictive analytics, or AI-assisted capabilities within the solution offering?</t>
        </is>
      </c>
      <c r="D42" s="9" t="n"/>
      <c r="E42" s="9" t="n"/>
      <c r="F42" s="9" t="n"/>
      <c r="G42" s="9" t="n"/>
      <c r="H42" s="9" t="n"/>
      <c r="I42" s="10">
        <f>TEXTJOIN(", ",TRUE,IF(D42="x","Security",""), IF(E42="x","Privacy",""), IF(F42="x","Financial",""), IF(G42="x","Accessibility",""), IF(H42="x","Official Languages",""))</f>
        <v/>
      </c>
      <c r="J42" s="11" t="n"/>
      <c r="K42" s="11" t="n"/>
      <c r="L42" s="11" t="n"/>
    </row>
    <row r="43" ht="24" customHeight="1">
      <c r="A43" s="6" t="inlineStr">
        <is>
          <t>Calculated, Measured &amp; Transparent Performance &amp; Value — Section weight: 10%</t>
        </is>
      </c>
    </row>
    <row r="44">
      <c r="A44" s="7" t="inlineStr">
        <is>
          <t>S4</t>
        </is>
      </c>
      <c r="B44" s="7" t="inlineStr">
        <is>
          <t>Q37</t>
        </is>
      </c>
      <c r="C44" s="8" t="inlineStr">
        <is>
          <t>Are Service Level Objectives (SLOs) and Service Level Agreements (SLAs) formally defined, monitored, and reported?</t>
        </is>
      </c>
      <c r="D44" s="9" t="n"/>
      <c r="E44" s="9" t="n"/>
      <c r="F44" s="9" t="n"/>
      <c r="G44" s="9" t="n"/>
      <c r="H44" s="9" t="n"/>
      <c r="I44" s="10">
        <f>TEXTJOIN(", ",TRUE,IF(D44="x","Security",""), IF(E44="x","Privacy",""), IF(F44="x","Financial",""), IF(G44="x","Accessibility",""), IF(H44="x","Official Languages",""))</f>
        <v/>
      </c>
      <c r="J44" s="11" t="n"/>
      <c r="K44" s="11" t="n"/>
      <c r="L44" s="11" t="n"/>
    </row>
    <row r="45">
      <c r="A45" s="7" t="inlineStr"/>
      <c r="B45" s="7" t="inlineStr">
        <is>
          <t>Q38</t>
        </is>
      </c>
      <c r="C45" s="8" t="inlineStr">
        <is>
          <t>Is there end-to-end instrumentation of delivery processes, enabling real-time performance monitoring and visualization?</t>
        </is>
      </c>
      <c r="D45" s="9" t="n"/>
      <c r="E45" s="9" t="n"/>
      <c r="F45" s="9" t="n"/>
      <c r="G45" s="9" t="n"/>
      <c r="H45" s="9" t="n"/>
      <c r="I45" s="10">
        <f>TEXTJOIN(", ",TRUE,IF(D45="x","Security",""), IF(E45="x","Privacy",""), IF(F45="x","Financial",""), IF(G45="x","Accessibility",""), IF(H45="x","Official Languages",""))</f>
        <v/>
      </c>
      <c r="J45" s="11" t="n"/>
      <c r="K45" s="11" t="n"/>
      <c r="L45" s="11" t="n"/>
    </row>
    <row r="46">
      <c r="A46" s="7" t="inlineStr"/>
      <c r="B46" s="7" t="inlineStr">
        <is>
          <t>Q39</t>
        </is>
      </c>
      <c r="C46" s="8" t="inlineStr">
        <is>
          <t>How well are costs, prices, and unit economics tracked and published, enabling informed investment decisions?</t>
        </is>
      </c>
      <c r="D46" s="9" t="n"/>
      <c r="E46" s="9" t="n"/>
      <c r="F46" s="9" t="inlineStr">
        <is>
          <t>x</t>
        </is>
      </c>
      <c r="G46" s="9" t="n"/>
      <c r="H46" s="9" t="n"/>
      <c r="I46" s="10">
        <f>TEXTJOIN(", ",TRUE,IF(D46="x","Security",""), IF(E46="x","Privacy",""), IF(F46="x","Financial",""), IF(G46="x","Accessibility",""), IF(H46="x","Official Languages",""))</f>
        <v/>
      </c>
      <c r="J46" s="11" t="n"/>
      <c r="K46" s="11" t="n"/>
      <c r="L46" s="11" t="n"/>
    </row>
    <row r="47">
      <c r="A47" s="7" t="inlineStr"/>
      <c r="B47" s="7" t="inlineStr">
        <is>
          <t>Q40</t>
        </is>
      </c>
      <c r="C47" s="8" t="inlineStr">
        <is>
          <t>Are client satisfaction scores (CSAT, NPS, or equivalent) captured systematically and acted upon?</t>
        </is>
      </c>
      <c r="D47" s="9" t="n"/>
      <c r="E47" s="9" t="n"/>
      <c r="F47" s="9" t="n"/>
      <c r="G47" s="9" t="n"/>
      <c r="H47" s="9" t="n"/>
      <c r="I47" s="10">
        <f>TEXTJOIN(", ",TRUE,IF(D47="x","Security",""), IF(E47="x","Privacy",""), IF(F47="x","Financial",""), IF(G47="x","Accessibility",""), IF(H47="x","Official Languages",""))</f>
        <v/>
      </c>
      <c r="J47" s="11" t="n"/>
      <c r="K47" s="11" t="n"/>
      <c r="L47" s="11" t="n"/>
    </row>
    <row r="48">
      <c r="A48" s="7" t="inlineStr"/>
      <c r="B48" s="7" t="inlineStr">
        <is>
          <t>Q41</t>
        </is>
      </c>
      <c r="C48" s="8" t="inlineStr">
        <is>
          <t>How are quality and error rates measured, tracked, and used to drive continuous improvement?</t>
        </is>
      </c>
      <c r="D48" s="9" t="n"/>
      <c r="E48" s="9" t="n"/>
      <c r="F48" s="9" t="n"/>
      <c r="G48" s="9" t="n"/>
      <c r="H48" s="9" t="n"/>
      <c r="I48" s="10">
        <f>TEXTJOIN(", ",TRUE,IF(D48="x","Security",""), IF(E48="x","Privacy",""), IF(F48="x","Financial",""), IF(G48="x","Accessibility",""), IF(H48="x","Official Languages",""))</f>
        <v/>
      </c>
      <c r="J48" s="11" t="n"/>
      <c r="K48" s="11" t="n"/>
      <c r="L48" s="11" t="n"/>
    </row>
    <row r="49">
      <c r="A49" s="7" t="inlineStr"/>
      <c r="B49" s="7" t="inlineStr">
        <is>
          <t>Q42</t>
        </is>
      </c>
      <c r="C49" s="8" t="inlineStr">
        <is>
          <t>Are response times, total transaction times, and execution time variance measured and within defined thresholds?</t>
        </is>
      </c>
      <c r="D49" s="9" t="n"/>
      <c r="E49" s="9" t="n"/>
      <c r="F49" s="9" t="n"/>
      <c r="G49" s="9" t="n"/>
      <c r="H49" s="9" t="n"/>
      <c r="I49" s="10">
        <f>TEXTJOIN(", ",TRUE,IF(D49="x","Security",""), IF(E49="x","Privacy",""), IF(F49="x","Financial",""), IF(G49="x","Accessibility",""), IF(H49="x","Official Languages",""))</f>
        <v/>
      </c>
      <c r="J49" s="11" t="n"/>
      <c r="K49" s="11" t="n"/>
      <c r="L49" s="11" t="n"/>
    </row>
    <row r="50">
      <c r="A50" s="7" t="inlineStr"/>
      <c r="B50" s="7" t="inlineStr">
        <is>
          <t>Q43</t>
        </is>
      </c>
      <c r="C50" s="8" t="inlineStr">
        <is>
          <t>Is trend analysis performed regularly on key metrics to anticipate performance changes and drive proactive action?</t>
        </is>
      </c>
      <c r="D50" s="9" t="n"/>
      <c r="E50" s="9" t="n"/>
      <c r="F50" s="9" t="n"/>
      <c r="G50" s="9" t="n"/>
      <c r="H50" s="9" t="n"/>
      <c r="I50" s="10">
        <f>TEXTJOIN(", ",TRUE,IF(D50="x","Security",""), IF(E50="x","Privacy",""), IF(F50="x","Financial",""), IF(G50="x","Accessibility",""), IF(H50="x","Official Languages",""))</f>
        <v/>
      </c>
      <c r="J50" s="11" t="n"/>
      <c r="K50" s="11" t="n"/>
      <c r="L50" s="11" t="n"/>
    </row>
    <row r="51">
      <c r="A51" s="7" t="inlineStr"/>
      <c r="B51" s="7" t="inlineStr">
        <is>
          <t>Q44</t>
        </is>
      </c>
      <c r="C51" s="8" t="inlineStr">
        <is>
          <t>Are periodic evaluations of continuing business need performed to assess whether the solution still justifies its cost?</t>
        </is>
      </c>
      <c r="D51" s="9" t="n"/>
      <c r="E51" s="9" t="n"/>
      <c r="F51" s="9" t="inlineStr">
        <is>
          <t>x</t>
        </is>
      </c>
      <c r="G51" s="9" t="n"/>
      <c r="H51" s="9" t="n"/>
      <c r="I51" s="10">
        <f>TEXTJOIN(", ",TRUE,IF(D51="x","Security",""), IF(E51="x","Privacy",""), IF(F51="x","Financial",""), IF(G51="x","Accessibility",""), IF(H51="x","Official Languages",""))</f>
        <v/>
      </c>
      <c r="J51" s="11" t="n"/>
      <c r="K51" s="11" t="n"/>
      <c r="L51" s="11" t="n"/>
    </row>
    <row r="52" ht="24" customHeight="1">
      <c r="A52" s="6" t="inlineStr">
        <is>
          <t>Operational Readiness — Section weight: 10%</t>
        </is>
      </c>
    </row>
    <row r="53">
      <c r="A53" s="7" t="inlineStr">
        <is>
          <t>S5</t>
        </is>
      </c>
      <c r="B53" s="7" t="inlineStr">
        <is>
          <t>Q45</t>
        </is>
      </c>
      <c r="C53" s="8" t="inlineStr">
        <is>
          <t>How well-defined is the delivery pipeline, including deployment cadence, automation, rollback procedures, and success rates?</t>
        </is>
      </c>
      <c r="D53" s="9" t="n"/>
      <c r="E53" s="9" t="n"/>
      <c r="F53" s="9" t="n"/>
      <c r="G53" s="9" t="n"/>
      <c r="H53" s="9" t="n"/>
      <c r="I53" s="10">
        <f>TEXTJOIN(", ",TRUE,IF(D53="x","Security",""), IF(E53="x","Privacy",""), IF(F53="x","Financial",""), IF(G53="x","Accessibility",""), IF(H53="x","Official Languages",""))</f>
        <v/>
      </c>
      <c r="J53" s="11" t="n"/>
      <c r="K53" s="11" t="n"/>
      <c r="L53" s="11" t="n"/>
    </row>
    <row r="54">
      <c r="A54" s="7" t="inlineStr"/>
      <c r="B54" s="7" t="inlineStr">
        <is>
          <t>Q46</t>
        </is>
      </c>
      <c r="C54" s="8" t="inlineStr">
        <is>
          <t>Are skills requirements, staffing levels, and a training and improvement pipeline in place to sustain operations?</t>
        </is>
      </c>
      <c r="D54" s="9" t="n"/>
      <c r="E54" s="9" t="n"/>
      <c r="F54" s="9" t="n"/>
      <c r="G54" s="9" t="n"/>
      <c r="H54" s="9" t="n"/>
      <c r="I54" s="10">
        <f>TEXTJOIN(", ",TRUE,IF(D54="x","Security",""), IF(E54="x","Privacy",""), IF(F54="x","Financial",""), IF(G54="x","Accessibility",""), IF(H54="x","Official Languages",""))</f>
        <v/>
      </c>
      <c r="J54" s="11" t="n"/>
      <c r="K54" s="11" t="n"/>
      <c r="L54" s="11" t="n"/>
    </row>
    <row r="55">
      <c r="A55" s="7" t="inlineStr"/>
      <c r="B55" s="7" t="inlineStr">
        <is>
          <t>Q47</t>
        </is>
      </c>
      <c r="C55" s="8" t="inlineStr">
        <is>
          <t>Is there an established and confirmed funding strategy, including lifecycle funding beyond the initial build phase?</t>
        </is>
      </c>
      <c r="D55" s="9" t="n"/>
      <c r="E55" s="9" t="n"/>
      <c r="F55" s="9" t="inlineStr">
        <is>
          <t>x</t>
        </is>
      </c>
      <c r="G55" s="9" t="n"/>
      <c r="H55" s="9" t="n"/>
      <c r="I55" s="10">
        <f>TEXTJOIN(", ",TRUE,IF(D55="x","Security",""), IF(E55="x","Privacy",""), IF(F55="x","Financial",""), IF(G55="x","Accessibility",""), IF(H55="x","Official Languages",""))</f>
        <v/>
      </c>
      <c r="J55" s="11" t="n"/>
      <c r="K55" s="11" t="n"/>
      <c r="L55" s="11" t="n"/>
    </row>
    <row r="56">
      <c r="A56" s="7" t="inlineStr"/>
      <c r="B56" s="7" t="inlineStr">
        <is>
          <t>Q48</t>
        </is>
      </c>
      <c r="C56" s="8" t="inlineStr">
        <is>
          <t>How mature and tested is the incident management, business continuity, and disaster recovery planning for this solution?</t>
        </is>
      </c>
      <c r="D56" s="9" t="n"/>
      <c r="E56" s="9" t="n"/>
      <c r="F56" s="9" t="n"/>
      <c r="G56" s="9" t="n"/>
      <c r="H56" s="9" t="n"/>
      <c r="I56" s="10">
        <f>TEXTJOIN(", ",TRUE,IF(D56="x","Security",""), IF(E56="x","Privacy",""), IF(F56="x","Financial",""), IF(G56="x","Accessibility",""), IF(H56="x","Official Languages",""))</f>
        <v/>
      </c>
      <c r="J56" s="11" t="n"/>
      <c r="K56" s="11" t="n"/>
      <c r="L56" s="11" t="n"/>
    </row>
    <row r="57">
      <c r="A57" s="7" t="inlineStr"/>
      <c r="B57" s="7" t="inlineStr">
        <is>
          <t>Q49</t>
        </is>
      </c>
      <c r="C57" s="8" t="inlineStr">
        <is>
          <t>Is the infrastructure and technology acquisition strategy defined, including procurement pathways and lead times?</t>
        </is>
      </c>
      <c r="D57" s="9" t="n"/>
      <c r="E57" s="9" t="n"/>
      <c r="F57" s="9" t="n"/>
      <c r="G57" s="9" t="n"/>
      <c r="H57" s="9" t="n"/>
      <c r="I57" s="10">
        <f>TEXTJOIN(", ",TRUE,IF(D57="x","Security",""), IF(E57="x","Privacy",""), IF(F57="x","Financial",""), IF(G57="x","Accessibility",""), IF(H57="x","Official Languages",""))</f>
        <v/>
      </c>
      <c r="J57" s="11" t="n"/>
      <c r="K57" s="11" t="n"/>
      <c r="L57" s="11" t="n"/>
    </row>
    <row r="58">
      <c r="A58" s="7" t="inlineStr"/>
      <c r="B58" s="7" t="inlineStr">
        <is>
          <t>Q50</t>
        </is>
      </c>
      <c r="C58" s="8" t="inlineStr">
        <is>
          <t>Has a formal threat and risk assessment (including sovereignty and security classification) been completed and reviewed?</t>
        </is>
      </c>
      <c r="D58" s="9" t="inlineStr">
        <is>
          <t>x</t>
        </is>
      </c>
      <c r="E58" s="9" t="n"/>
      <c r="F58" s="9" t="n"/>
      <c r="G58" s="9" t="n"/>
      <c r="H58" s="9" t="n"/>
      <c r="I58" s="10">
        <f>TEXTJOIN(", ",TRUE,IF(D58="x","Security",""), IF(E58="x","Privacy",""), IF(F58="x","Financial",""), IF(G58="x","Accessibility",""), IF(H58="x","Official Languages",""))</f>
        <v/>
      </c>
      <c r="J58" s="11" t="n"/>
      <c r="K58" s="11" t="n"/>
      <c r="L58" s="11" t="n"/>
    </row>
    <row r="59">
      <c r="A59" s="7" t="inlineStr"/>
      <c r="B59" s="7" t="inlineStr">
        <is>
          <t>Q51</t>
        </is>
      </c>
      <c r="C59" s="8" t="inlineStr">
        <is>
          <t>How deep and well-prioritized is the feature and requirements backlog, and does it reflect validated stakeholder needs?</t>
        </is>
      </c>
      <c r="D59" s="9" t="n"/>
      <c r="E59" s="9" t="n"/>
      <c r="F59" s="9" t="n"/>
      <c r="G59" s="9" t="n"/>
      <c r="H59" s="9" t="n"/>
      <c r="I59" s="10">
        <f>TEXTJOIN(", ",TRUE,IF(D59="x","Security",""), IF(E59="x","Privacy",""), IF(F59="x","Financial",""), IF(G59="x","Accessibility",""), IF(H59="x","Official Languages",""))</f>
        <v/>
      </c>
      <c r="J59" s="11" t="n"/>
      <c r="K59" s="11" t="n"/>
      <c r="L59" s="11" t="n"/>
    </row>
    <row r="60">
      <c r="A60" s="7" t="inlineStr"/>
      <c r="B60" s="7" t="inlineStr">
        <is>
          <t>Q52</t>
        </is>
      </c>
      <c r="C60" s="8" t="inlineStr">
        <is>
          <t>Are there operational runbooks, monitoring dashboards, and on-call processes in place to support production operations?</t>
        </is>
      </c>
      <c r="D60" s="9" t="n"/>
      <c r="E60" s="9" t="n"/>
      <c r="F60" s="9" t="n"/>
      <c r="G60" s="9" t="n"/>
      <c r="H60" s="9" t="n"/>
      <c r="I60" s="10">
        <f>TEXTJOIN(", ",TRUE,IF(D60="x","Security",""), IF(E60="x","Privacy",""), IF(F60="x","Financial",""), IF(G60="x","Accessibility",""), IF(H60="x","Official Languages",""))</f>
        <v/>
      </c>
      <c r="J60" s="11" t="n"/>
      <c r="K60" s="11" t="n"/>
      <c r="L60" s="11" t="n"/>
    </row>
    <row r="61" ht="24" customHeight="1">
      <c r="A61" s="6" t="inlineStr">
        <is>
          <t>Governance &amp; Strategy — Section weight: 20%</t>
        </is>
      </c>
    </row>
    <row r="62">
      <c r="A62" s="7" t="inlineStr">
        <is>
          <t>S6</t>
        </is>
      </c>
      <c r="B62" s="7" t="inlineStr">
        <is>
          <t>Q53</t>
        </is>
      </c>
      <c r="C62" s="8" t="inlineStr">
        <is>
          <t>Is there a clearly defined governance model with accountable decision-makers for the solution's direction and performance?</t>
        </is>
      </c>
      <c r="D62" s="9" t="n"/>
      <c r="E62" s="9" t="n"/>
      <c r="F62" s="9" t="n"/>
      <c r="G62" s="9" t="n"/>
      <c r="H62" s="9" t="n"/>
      <c r="I62" s="10">
        <f>TEXTJOIN(", ",TRUE,IF(D62="x","Security",""), IF(E62="x","Privacy",""), IF(F62="x","Financial",""), IF(G62="x","Accessibility",""), IF(H62="x","Official Languages",""))</f>
        <v/>
      </c>
      <c r="J62" s="11" t="n"/>
      <c r="K62" s="11" t="n"/>
      <c r="L62" s="11" t="n"/>
    </row>
    <row r="63">
      <c r="A63" s="7" t="inlineStr"/>
      <c r="B63" s="7" t="inlineStr">
        <is>
          <t>Q54</t>
        </is>
      </c>
      <c r="C63" s="8" t="inlineStr">
        <is>
          <t>How well does the solution align with the GC Digital Operations Strategic Plan and departmental enterprise strategy?</t>
        </is>
      </c>
      <c r="D63" s="9" t="n"/>
      <c r="E63" s="9" t="n"/>
      <c r="F63" s="9" t="n"/>
      <c r="G63" s="9" t="n"/>
      <c r="H63" s="9" t="n"/>
      <c r="I63" s="10">
        <f>TEXTJOIN(", ",TRUE,IF(D63="x","Security",""), IF(E63="x","Privacy",""), IF(F63="x","Financial",""), IF(G63="x","Accessibility",""), IF(H63="x","Official Languages",""))</f>
        <v/>
      </c>
      <c r="J63" s="11" t="n"/>
      <c r="K63" s="11" t="n"/>
      <c r="L63" s="11" t="n"/>
    </row>
    <row r="64">
      <c r="A64" s="7" t="inlineStr"/>
      <c r="B64" s="7" t="inlineStr">
        <is>
          <t>Q55</t>
        </is>
      </c>
      <c r="C64" s="8" t="inlineStr">
        <is>
          <t>Is there a published roadmap with near, medium, and long-term milestones that is communicated to stakeholders?</t>
        </is>
      </c>
      <c r="D64" s="9" t="n"/>
      <c r="E64" s="9" t="n"/>
      <c r="F64" s="9" t="n"/>
      <c r="G64" s="9" t="n"/>
      <c r="H64" s="9" t="n"/>
      <c r="I64" s="10">
        <f>TEXTJOIN(", ",TRUE,IF(D64="x","Security",""), IF(E64="x","Privacy",""), IF(F64="x","Financial",""), IF(G64="x","Accessibility",""), IF(H64="x","Official Languages",""))</f>
        <v/>
      </c>
      <c r="J64" s="11" t="n"/>
      <c r="K64" s="11" t="n"/>
      <c r="L64" s="11" t="n"/>
    </row>
    <row r="65">
      <c r="A65" s="7" t="inlineStr"/>
      <c r="B65" s="7" t="inlineStr">
        <is>
          <t>Q56</t>
        </is>
      </c>
      <c r="C65" s="8" t="inlineStr">
        <is>
          <t>How mature is the change management process, including impact assessment, approval workflows, and communication plans?</t>
        </is>
      </c>
      <c r="D65" s="9" t="n"/>
      <c r="E65" s="9" t="n"/>
      <c r="F65" s="9" t="n"/>
      <c r="G65" s="9" t="n"/>
      <c r="H65" s="9" t="n"/>
      <c r="I65" s="10">
        <f>TEXTJOIN(", ",TRUE,IF(D65="x","Security",""), IF(E65="x","Privacy",""), IF(F65="x","Financial",""), IF(G65="x","Accessibility",""), IF(H65="x","Official Languages",""))</f>
        <v/>
      </c>
      <c r="J65" s="11" t="n"/>
      <c r="K65" s="11" t="n"/>
      <c r="L65" s="11" t="n"/>
    </row>
    <row r="66">
      <c r="A66" s="7" t="inlineStr"/>
      <c r="B66" s="7" t="inlineStr">
        <is>
          <t>Q57</t>
        </is>
      </c>
      <c r="C66" s="8" t="inlineStr">
        <is>
          <t>Are compliance requirements (legal, regulatory, policy, accessibility, bilingualism) formally tracked and verified?</t>
        </is>
      </c>
      <c r="D66" s="9" t="n"/>
      <c r="E66" s="9" t="n"/>
      <c r="F66" s="9" t="n"/>
      <c r="G66" s="9" t="n"/>
      <c r="H66" s="9" t="n"/>
      <c r="I66" s="10">
        <f>TEXTJOIN(", ",TRUE,IF(D66="x","Security",""), IF(E66="x","Privacy",""), IF(F66="x","Financial",""), IF(G66="x","Accessibility",""), IF(H66="x","Official Languages",""))</f>
        <v/>
      </c>
      <c r="J66" s="11" t="n"/>
      <c r="K66" s="11" t="n"/>
      <c r="L66" s="11" t="n"/>
    </row>
    <row r="67">
      <c r="A67" s="7" t="inlineStr"/>
      <c r="B67" s="7" t="inlineStr">
        <is>
          <t>Q58</t>
        </is>
      </c>
      <c r="C67" s="8" t="inlineStr">
        <is>
          <t>Is there a formal risk register maintained for the solution, with assigned owners and documented mitigation strategies?</t>
        </is>
      </c>
      <c r="D67" s="9" t="n"/>
      <c r="E67" s="9" t="n"/>
      <c r="F67" s="9" t="n"/>
      <c r="G67" s="9" t="n"/>
      <c r="H67" s="9" t="n"/>
      <c r="I67" s="10">
        <f>TEXTJOIN(", ",TRUE,IF(D67="x","Security",""), IF(E67="x","Privacy",""), IF(F67="x","Financial",""), IF(G67="x","Accessibility",""), IF(H67="x","Official Languages",""))</f>
        <v/>
      </c>
      <c r="J67" s="11" t="n"/>
      <c r="K67" s="11" t="n"/>
      <c r="L67" s="11" t="n"/>
    </row>
    <row r="68">
      <c r="A68" s="7" t="inlineStr"/>
      <c r="B68" s="7" t="inlineStr">
        <is>
          <t>Q59</t>
        </is>
      </c>
      <c r="C68" s="8" t="inlineStr">
        <is>
          <t>How well is vendor and third-party relationship governance defined, including performance monitoring and exit strategies?</t>
        </is>
      </c>
      <c r="D68" s="9" t="n"/>
      <c r="E68" s="9" t="n"/>
      <c r="F68" s="9" t="n"/>
      <c r="G68" s="9" t="n"/>
      <c r="H68" s="9" t="n"/>
      <c r="I68" s="10">
        <f>TEXTJOIN(", ",TRUE,IF(D68="x","Security",""), IF(E68="x","Privacy",""), IF(F68="x","Financial",""), IF(G68="x","Accessibility",""), IF(H68="x","Official Languages",""))</f>
        <v/>
      </c>
      <c r="J68" s="11" t="n"/>
      <c r="K68" s="11" t="n"/>
      <c r="L68" s="11" t="n"/>
    </row>
    <row r="69">
      <c r="A69" s="7" t="inlineStr"/>
      <c r="B69" s="7" t="inlineStr">
        <is>
          <t>Q60</t>
        </is>
      </c>
      <c r="C69" s="8" t="inlineStr">
        <is>
          <t>Is there a documented and approved data governance model aligned with the solution's information and privacy requirements?</t>
        </is>
      </c>
      <c r="D69" s="9" t="n"/>
      <c r="E69" s="9" t="inlineStr">
        <is>
          <t>x</t>
        </is>
      </c>
      <c r="F69" s="9" t="n"/>
      <c r="G69" s="9" t="n"/>
      <c r="H69" s="9" t="n"/>
      <c r="I69" s="10">
        <f>TEXTJOIN(", ",TRUE,IF(D69="x","Security",""), IF(E69="x","Privacy",""), IF(F69="x","Financial",""), IF(G69="x","Accessibility",""), IF(H69="x","Official Languages",""))</f>
        <v/>
      </c>
      <c r="J69" s="11" t="n"/>
      <c r="K69" s="11" t="n"/>
      <c r="L69" s="11" t="n"/>
    </row>
    <row r="70">
      <c r="A70" s="7" t="inlineStr"/>
      <c r="B70" s="7" t="inlineStr">
        <is>
          <t>Q61</t>
        </is>
      </c>
      <c r="C70" s="8" t="inlineStr">
        <is>
          <t>How well does the solution contribute to GC-wide shared service consolidation and enterprise architecture objectives?</t>
        </is>
      </c>
      <c r="D70" s="9" t="n"/>
      <c r="E70" s="9" t="n"/>
      <c r="F70" s="9" t="n"/>
      <c r="G70" s="9" t="n"/>
      <c r="H70" s="9" t="n"/>
      <c r="I70" s="10">
        <f>TEXTJOIN(", ",TRUE,IF(D70="x","Security",""), IF(E70="x","Privacy",""), IF(F70="x","Financial",""), IF(G70="x","Accessibility",""), IF(H70="x","Official Languages",""))</f>
        <v/>
      </c>
      <c r="J70" s="11" t="n"/>
      <c r="K70" s="11" t="n"/>
      <c r="L70" s="11" t="n"/>
    </row>
  </sheetData>
  <mergeCells count="8">
    <mergeCell ref="A2:L2"/>
    <mergeCell ref="A52:L52"/>
    <mergeCell ref="A43:L43"/>
    <mergeCell ref="A19:L19"/>
    <mergeCell ref="A33:L33"/>
    <mergeCell ref="A1:L1"/>
    <mergeCell ref="A61:L61"/>
    <mergeCell ref="A4:L4"/>
  </mergeCells>
  <dataValidations count="1">
    <dataValidation sqref="D4:H70" showDropDown="0" showInputMessage="0" showErrorMessage="0" allowBlank="1" errorTitle="Tick it or leave it" error="Choose x from the list, or leave it empty." promptTitle="Is it also about this?" prompt="x if this question is also about this subject. Empty if it is not." type="list">
      <formula1>"x"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5B"/>
    <outlinePr summaryBelow="1" summaryRight="1"/>
    <pageSetUpPr/>
  </sheetPr>
  <dimension ref="A1:L47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6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6" customWidth="1" min="9" max="9"/>
    <col width="11" customWidth="1" min="10" max="10"/>
    <col width="16" customWidth="1" min="11" max="11"/>
    <col width="34" customWidth="1" min="12" max="12"/>
  </cols>
  <sheetData>
    <row r="1" ht="30" customHeight="1">
      <c r="A1" s="12" t="inlineStr">
        <is>
          <t>Data &amp; Information Architecture  ·  Turning raw data into trusted, connected insights</t>
        </is>
      </c>
    </row>
    <row r="2">
      <c r="A2" s="3" t="inlineStr">
        <is>
          <t xml:space="preserve">   Overall weight in GC EA score: 25%</t>
        </is>
      </c>
    </row>
    <row r="3" ht="34" customHeight="1">
      <c r="A3" s="13" t="inlineStr">
        <is>
          <t>#</t>
        </is>
      </c>
      <c r="B3" s="13" t="inlineStr">
        <is>
          <t>Q#</t>
        </is>
      </c>
      <c r="C3" s="13" t="inlineStr">
        <is>
          <t>Assessment Question</t>
        </is>
      </c>
      <c r="D3" s="14" t="inlineStr">
        <is>
          <t>Security</t>
        </is>
      </c>
      <c r="E3" s="14" t="inlineStr">
        <is>
          <t>Privacy</t>
        </is>
      </c>
      <c r="F3" s="14" t="inlineStr">
        <is>
          <t>Financial</t>
        </is>
      </c>
      <c r="G3" s="14" t="inlineStr">
        <is>
          <t>Accessibility</t>
        </is>
      </c>
      <c r="H3" s="14" t="inlineStr">
        <is>
          <t>Official Languages</t>
        </is>
      </c>
      <c r="I3" s="14" t="inlineStr">
        <is>
          <t>Topics (filled in for you)</t>
        </is>
      </c>
      <c r="J3" s="14" t="inlineStr">
        <is>
          <t>Score (0–10)</t>
        </is>
      </c>
      <c r="K3" s="14" t="inlineStr">
        <is>
          <t>Maturity Label</t>
        </is>
      </c>
      <c r="L3" s="14" t="inlineStr">
        <is>
          <t>Notes / Evidence</t>
        </is>
      </c>
    </row>
    <row r="4" ht="24" customHeight="1">
      <c r="A4" s="15" t="inlineStr">
        <is>
          <t>Defining the Current State — Section weight: 10%</t>
        </is>
      </c>
    </row>
    <row r="5">
      <c r="A5" s="7" t="inlineStr">
        <is>
          <t>S1</t>
        </is>
      </c>
      <c r="B5" s="7" t="inlineStr">
        <is>
          <t>Q1</t>
        </is>
      </c>
      <c r="C5" s="8" t="inlineStr">
        <is>
          <t>How well documented are current data models, entity relationships, and data-sharing agreements?</t>
        </is>
      </c>
      <c r="D5" s="16" t="n"/>
      <c r="E5" s="16" t="n"/>
      <c r="F5" s="16" t="n"/>
      <c r="G5" s="16" t="n"/>
      <c r="H5" s="16" t="n"/>
      <c r="I5" s="10">
        <f>TEXTJOIN(", ",TRUE,IF(D5="x","Security",""), IF(E5="x","Privacy",""), IF(F5="x","Financial",""), IF(G5="x","Accessibility",""), IF(H5="x","Official Languages",""))</f>
        <v/>
      </c>
      <c r="J5" s="11" t="n"/>
      <c r="K5" s="11" t="n"/>
      <c r="L5" s="11" t="n"/>
    </row>
    <row r="6">
      <c r="A6" s="7" t="inlineStr"/>
      <c r="B6" s="7" t="inlineStr">
        <is>
          <t>Q2</t>
        </is>
      </c>
      <c r="C6" s="8" t="inlineStr">
        <is>
          <t>What is the degree of data fragmentation, duplication, and inconsistency across the current solution and its dependencies?</t>
        </is>
      </c>
      <c r="D6" s="16" t="n"/>
      <c r="E6" s="16" t="n"/>
      <c r="F6" s="16" t="n"/>
      <c r="G6" s="16" t="n"/>
      <c r="H6" s="16" t="n"/>
      <c r="I6" s="10">
        <f>TEXTJOIN(", ",TRUE,IF(D6="x","Security",""), IF(E6="x","Privacy",""), IF(F6="x","Financial",""), IF(G6="x","Accessibility",""), IF(H6="x","Official Languages",""))</f>
        <v/>
      </c>
      <c r="J6" s="11" t="n"/>
      <c r="K6" s="11" t="n"/>
      <c r="L6" s="11" t="n"/>
    </row>
    <row r="7">
      <c r="A7" s="7" t="inlineStr"/>
      <c r="B7" s="7" t="inlineStr">
        <is>
          <t>Q3</t>
        </is>
      </c>
      <c r="C7" s="8" t="inlineStr">
        <is>
          <t>How well understood are data volumes, growth rates, residency requirements, and encryption posture?</t>
        </is>
      </c>
      <c r="D7" s="16" t="inlineStr">
        <is>
          <t>x</t>
        </is>
      </c>
      <c r="E7" s="16" t="n"/>
      <c r="F7" s="16" t="n"/>
      <c r="G7" s="16" t="n"/>
      <c r="H7" s="16" t="n"/>
      <c r="I7" s="10">
        <f>TEXTJOIN(", ",TRUE,IF(D7="x","Security",""), IF(E7="x","Privacy",""), IF(F7="x","Financial",""), IF(G7="x","Accessibility",""), IF(H7="x","Official Languages",""))</f>
        <v/>
      </c>
      <c r="J7" s="11" t="n"/>
      <c r="K7" s="11" t="n"/>
      <c r="L7" s="11" t="n"/>
    </row>
    <row r="8">
      <c r="A8" s="7" t="inlineStr"/>
      <c r="B8" s="7" t="inlineStr">
        <is>
          <t>Q4</t>
        </is>
      </c>
      <c r="C8" s="8" t="inlineStr">
        <is>
          <t>Is the lifespan and full data lifecycle — from creation to disposition — mapped and governed?</t>
        </is>
      </c>
      <c r="D8" s="16" t="n"/>
      <c r="E8" s="16" t="n"/>
      <c r="F8" s="16" t="n"/>
      <c r="G8" s="16" t="n"/>
      <c r="H8" s="16" t="n"/>
      <c r="I8" s="10">
        <f>TEXTJOIN(", ",TRUE,IF(D8="x","Security",""), IF(E8="x","Privacy",""), IF(F8="x","Financial",""), IF(G8="x","Accessibility",""), IF(H8="x","Official Languages",""))</f>
        <v/>
      </c>
      <c r="J8" s="11" t="n"/>
      <c r="K8" s="11" t="n"/>
      <c r="L8" s="11" t="n"/>
    </row>
    <row r="9">
      <c r="A9" s="7" t="inlineStr"/>
      <c r="B9" s="7" t="inlineStr">
        <is>
          <t>Q5</t>
        </is>
      </c>
      <c r="C9" s="8" t="inlineStr">
        <is>
          <t>Are data formats proprietary or based on open, interoperable standards?</t>
        </is>
      </c>
      <c r="D9" s="16" t="n"/>
      <c r="E9" s="16" t="n"/>
      <c r="F9" s="16" t="n"/>
      <c r="G9" s="16" t="n"/>
      <c r="H9" s="16" t="n"/>
      <c r="I9" s="10">
        <f>TEXTJOIN(", ",TRUE,IF(D9="x","Security",""), IF(E9="x","Privacy",""), IF(F9="x","Financial",""), IF(G9="x","Accessibility",""), IF(H9="x","Official Languages",""))</f>
        <v/>
      </c>
      <c r="J9" s="11" t="n"/>
      <c r="K9" s="11" t="n"/>
      <c r="L9" s="11" t="n"/>
    </row>
    <row r="10">
      <c r="A10" s="7" t="inlineStr"/>
      <c r="B10" s="7" t="inlineStr">
        <is>
          <t>Q6</t>
        </is>
      </c>
      <c r="C10" s="8" t="inlineStr">
        <is>
          <t>How open and transparent is data publication, and is a default-open approach applied where appropriate?</t>
        </is>
      </c>
      <c r="D10" s="16" t="n"/>
      <c r="E10" s="16" t="n"/>
      <c r="F10" s="16" t="n"/>
      <c r="G10" s="16" t="n"/>
      <c r="H10" s="16" t="n"/>
      <c r="I10" s="10">
        <f>TEXTJOIN(", ",TRUE,IF(D10="x","Security",""), IF(E10="x","Privacy",""), IF(F10="x","Financial",""), IF(G10="x","Accessibility",""), IF(H10="x","Official Languages",""))</f>
        <v/>
      </c>
      <c r="J10" s="11" t="n"/>
      <c r="K10" s="11" t="n"/>
      <c r="L10" s="11" t="n"/>
    </row>
    <row r="11">
      <c r="A11" s="7" t="inlineStr"/>
      <c r="B11" s="7" t="inlineStr">
        <is>
          <t>Q7</t>
        </is>
      </c>
      <c r="C11" s="8" t="inlineStr">
        <is>
          <t>Are analytics and trend analysis capabilities available to support decision-making from current data assets?</t>
        </is>
      </c>
      <c r="D11" s="16" t="n"/>
      <c r="E11" s="16" t="n"/>
      <c r="F11" s="16" t="n"/>
      <c r="G11" s="16" t="n"/>
      <c r="H11" s="16" t="n"/>
      <c r="I11" s="10">
        <f>TEXTJOIN(", ",TRUE,IF(D11="x","Security",""), IF(E11="x","Privacy",""), IF(F11="x","Financial",""), IF(G11="x","Accessibility",""), IF(H11="x","Official Languages",""))</f>
        <v/>
      </c>
      <c r="J11" s="11" t="n"/>
      <c r="K11" s="11" t="n"/>
      <c r="L11" s="11" t="n"/>
    </row>
    <row r="12">
      <c r="A12" s="7" t="inlineStr"/>
      <c r="B12" s="7" t="inlineStr">
        <is>
          <t>Q8</t>
        </is>
      </c>
      <c r="C12" s="8" t="inlineStr">
        <is>
          <t>How mature are data access controls, auditing mechanisms, and the ability to trace who accessed what and when?</t>
        </is>
      </c>
      <c r="D12" s="16" t="inlineStr">
        <is>
          <t>x</t>
        </is>
      </c>
      <c r="E12" s="16" t="n"/>
      <c r="F12" s="16" t="n"/>
      <c r="G12" s="16" t="n"/>
      <c r="H12" s="16" t="n"/>
      <c r="I12" s="10">
        <f>TEXTJOIN(", ",TRUE,IF(D12="x","Security",""), IF(E12="x","Privacy",""), IF(F12="x","Financial",""), IF(G12="x","Accessibility",""), IF(H12="x","Official Languages",""))</f>
        <v/>
      </c>
      <c r="J12" s="11" t="n"/>
      <c r="K12" s="11" t="n"/>
      <c r="L12" s="11" t="n"/>
    </row>
    <row r="13">
      <c r="A13" s="7" t="inlineStr"/>
      <c r="B13" s="7" t="inlineStr">
        <is>
          <t>Q9</t>
        </is>
      </c>
      <c r="C13" s="8" t="inlineStr">
        <is>
          <t>How interoperable is the current data environment with other GC systems, programs, and platforms?</t>
        </is>
      </c>
      <c r="D13" s="16" t="n"/>
      <c r="E13" s="16" t="n"/>
      <c r="F13" s="16" t="n"/>
      <c r="G13" s="16" t="n"/>
      <c r="H13" s="16" t="n"/>
      <c r="I13" s="10">
        <f>TEXTJOIN(", ",TRUE,IF(D13="x","Security",""), IF(E13="x","Privacy",""), IF(F13="x","Financial",""), IF(G13="x","Accessibility",""), IF(H13="x","Official Languages",""))</f>
        <v/>
      </c>
      <c r="J13" s="11" t="n"/>
      <c r="K13" s="11" t="n"/>
      <c r="L13" s="11" t="n"/>
    </row>
    <row r="14" ht="24" customHeight="1">
      <c r="A14" s="15" t="inlineStr">
        <is>
          <t>Data Architecture &amp; Standards — Section weight: 40%</t>
        </is>
      </c>
    </row>
    <row r="15">
      <c r="A15" s="7" t="inlineStr">
        <is>
          <t>S2</t>
        </is>
      </c>
      <c r="B15" s="7" t="inlineStr">
        <is>
          <t>Q10</t>
        </is>
      </c>
      <c r="C15" s="8" t="inlineStr">
        <is>
          <t>Is there a formal, documented data model that reflects all key entities, relationships, attributes, and business rules?</t>
        </is>
      </c>
      <c r="D15" s="16" t="n"/>
      <c r="E15" s="16" t="n"/>
      <c r="F15" s="16" t="n"/>
      <c r="G15" s="16" t="n"/>
      <c r="H15" s="16" t="n"/>
      <c r="I15" s="10">
        <f>TEXTJOIN(", ",TRUE,IF(D15="x","Security",""), IF(E15="x","Privacy",""), IF(F15="x","Financial",""), IF(G15="x","Accessibility",""), IF(H15="x","Official Languages",""))</f>
        <v/>
      </c>
      <c r="J15" s="11" t="n"/>
      <c r="K15" s="11" t="n"/>
      <c r="L15" s="11" t="n"/>
    </row>
    <row r="16">
      <c r="A16" s="7" t="inlineStr"/>
      <c r="B16" s="7" t="inlineStr">
        <is>
          <t>Q11</t>
        </is>
      </c>
      <c r="C16" s="8" t="inlineStr">
        <is>
          <t>How mature is master data management — are authoritative data sources identified, maintained, and trusted?</t>
        </is>
      </c>
      <c r="D16" s="16" t="n"/>
      <c r="E16" s="16" t="n"/>
      <c r="F16" s="16" t="n"/>
      <c r="G16" s="16" t="n"/>
      <c r="H16" s="16" t="n"/>
      <c r="I16" s="10">
        <f>TEXTJOIN(", ",TRUE,IF(D16="x","Security",""), IF(E16="x","Privacy",""), IF(F16="x","Financial",""), IF(G16="x","Accessibility",""), IF(H16="x","Official Languages",""))</f>
        <v/>
      </c>
      <c r="J16" s="11" t="n"/>
      <c r="K16" s="11" t="n"/>
      <c r="L16" s="11" t="n"/>
    </row>
    <row r="17">
      <c r="A17" s="7" t="inlineStr"/>
      <c r="B17" s="7" t="inlineStr">
        <is>
          <t>Q12</t>
        </is>
      </c>
      <c r="C17" s="8" t="inlineStr">
        <is>
          <t>Is data lifecycle governance established, covering creation, versioning, archiving, and secure disposition?</t>
        </is>
      </c>
      <c r="D17" s="16" t="inlineStr">
        <is>
          <t>x</t>
        </is>
      </c>
      <c r="E17" s="16" t="n"/>
      <c r="F17" s="16" t="n"/>
      <c r="G17" s="16" t="n"/>
      <c r="H17" s="16" t="n"/>
      <c r="I17" s="10">
        <f>TEXTJOIN(", ",TRUE,IF(D17="x","Security",""), IF(E17="x","Privacy",""), IF(F17="x","Financial",""), IF(G17="x","Accessibility",""), IF(H17="x","Official Languages",""))</f>
        <v/>
      </c>
      <c r="J17" s="11" t="n"/>
      <c r="K17" s="11" t="n"/>
      <c r="L17" s="11" t="n"/>
    </row>
    <row r="18">
      <c r="A18" s="7" t="inlineStr"/>
      <c r="B18" s="7" t="inlineStr">
        <is>
          <t>Q13</t>
        </is>
      </c>
      <c r="C18" s="8" t="inlineStr">
        <is>
          <t>Are international and GC data standards applied (e.g., ISO, DCAT, NIEM, GC Open Data Directive)?</t>
        </is>
      </c>
      <c r="D18" s="16" t="n"/>
      <c r="E18" s="16" t="n"/>
      <c r="F18" s="16" t="n"/>
      <c r="G18" s="16" t="n"/>
      <c r="H18" s="16" t="n"/>
      <c r="I18" s="10">
        <f>TEXTJOIN(", ",TRUE,IF(D18="x","Security",""), IF(E18="x","Privacy",""), IF(F18="x","Financial",""), IF(G18="x","Accessibility",""), IF(H18="x","Official Languages",""))</f>
        <v/>
      </c>
      <c r="J18" s="11" t="n"/>
      <c r="K18" s="11" t="n"/>
      <c r="L18" s="11" t="n"/>
    </row>
    <row r="19">
      <c r="A19" s="7" t="inlineStr"/>
      <c r="B19" s="7" t="inlineStr">
        <is>
          <t>Q14</t>
        </is>
      </c>
      <c r="C19" s="8" t="inlineStr">
        <is>
          <t>How well defined is data lineage — can the origin, transformation, and movement of data be traced end-to-end?</t>
        </is>
      </c>
      <c r="D19" s="16" t="n"/>
      <c r="E19" s="16" t="n"/>
      <c r="F19" s="16" t="n"/>
      <c r="G19" s="16" t="n"/>
      <c r="H19" s="16" t="n"/>
      <c r="I19" s="10">
        <f>TEXTJOIN(", ",TRUE,IF(D19="x","Security",""), IF(E19="x","Privacy",""), IF(F19="x","Financial",""), IF(G19="x","Accessibility",""), IF(H19="x","Official Languages",""))</f>
        <v/>
      </c>
      <c r="J19" s="11" t="n"/>
      <c r="K19" s="11" t="n"/>
      <c r="L19" s="11" t="n"/>
    </row>
    <row r="20">
      <c r="A20" s="7" t="inlineStr"/>
      <c r="B20" s="7" t="inlineStr">
        <is>
          <t>Q15</t>
        </is>
      </c>
      <c r="C20" s="8" t="inlineStr">
        <is>
          <t>Is comprehensive metadata management in place, enabling data discovery, classification, and contextual understanding?</t>
        </is>
      </c>
      <c r="D20" s="16" t="n"/>
      <c r="E20" s="16" t="n"/>
      <c r="F20" s="16" t="n"/>
      <c r="G20" s="16" t="n"/>
      <c r="H20" s="16" t="n"/>
      <c r="I20" s="10">
        <f>TEXTJOIN(", ",TRUE,IF(D20="x","Security",""), IF(E20="x","Privacy",""), IF(F20="x","Financial",""), IF(G20="x","Accessibility",""), IF(H20="x","Official Languages",""))</f>
        <v/>
      </c>
      <c r="J20" s="11" t="n"/>
      <c r="K20" s="11" t="n"/>
      <c r="L20" s="11" t="n"/>
    </row>
    <row r="21">
      <c r="A21" s="7" t="inlineStr"/>
      <c r="B21" s="7" t="inlineStr">
        <is>
          <t>Q16</t>
        </is>
      </c>
      <c r="C21" s="8" t="inlineStr">
        <is>
          <t>How mature is data quality management — are completeness, accuracy, consistency, and timeliness measured and enforced?</t>
        </is>
      </c>
      <c r="D21" s="16" t="n"/>
      <c r="E21" s="16" t="n"/>
      <c r="F21" s="16" t="n"/>
      <c r="G21" s="16" t="n"/>
      <c r="H21" s="16" t="n"/>
      <c r="I21" s="10">
        <f>TEXTJOIN(", ",TRUE,IF(D21="x","Security",""), IF(E21="x","Privacy",""), IF(F21="x","Financial",""), IF(G21="x","Accessibility",""), IF(H21="x","Official Languages",""))</f>
        <v/>
      </c>
      <c r="J21" s="11" t="n"/>
      <c r="K21" s="11" t="n"/>
      <c r="L21" s="11" t="n"/>
    </row>
    <row r="22">
      <c r="A22" s="7" t="inlineStr"/>
      <c r="B22" s="7" t="inlineStr">
        <is>
          <t>Q17</t>
        </is>
      </c>
      <c r="C22" s="8" t="inlineStr">
        <is>
          <t>Is data instrumentation in place to capture operational telemetry, audit records, and system-generated metadata?</t>
        </is>
      </c>
      <c r="D22" s="16" t="n"/>
      <c r="E22" s="16" t="n"/>
      <c r="F22" s="16" t="n"/>
      <c r="G22" s="16" t="n"/>
      <c r="H22" s="16" t="n"/>
      <c r="I22" s="10">
        <f>TEXTJOIN(", ",TRUE,IF(D22="x","Security",""), IF(E22="x","Privacy",""), IF(F22="x","Financial",""), IF(G22="x","Accessibility",""), IF(H22="x","Official Languages",""))</f>
        <v/>
      </c>
      <c r="J22" s="11" t="n"/>
      <c r="K22" s="11" t="n"/>
      <c r="L22" s="11" t="n"/>
    </row>
    <row r="23">
      <c r="A23" s="7" t="inlineStr"/>
      <c r="B23" s="7" t="inlineStr">
        <is>
          <t>Q18</t>
        </is>
      </c>
      <c r="C23" s="8" t="inlineStr">
        <is>
          <t>Are data read/write performance requirements (volumes, IOPS, movement patterns) understood and architecturally addressed?</t>
        </is>
      </c>
      <c r="D23" s="16" t="n"/>
      <c r="E23" s="16" t="n"/>
      <c r="F23" s="16" t="n"/>
      <c r="G23" s="16" t="n"/>
      <c r="H23" s="16" t="n"/>
      <c r="I23" s="10">
        <f>TEXTJOIN(", ",TRUE,IF(D23="x","Security",""), IF(E23="x","Privacy",""), IF(F23="x","Financial",""), IF(G23="x","Accessibility",""), IF(H23="x","Official Languages",""))</f>
        <v/>
      </c>
      <c r="J23" s="11" t="n"/>
      <c r="K23" s="11" t="n"/>
      <c r="L23" s="11" t="n"/>
    </row>
    <row r="24">
      <c r="A24" s="7" t="inlineStr"/>
      <c r="B24" s="7" t="inlineStr">
        <is>
          <t>Q19</t>
        </is>
      </c>
      <c r="C24" s="8" t="inlineStr">
        <is>
          <t>Is there a strategy for structured, semi-structured, and unstructured data that applies consistent governance across all types?</t>
        </is>
      </c>
      <c r="D24" s="16" t="n"/>
      <c r="E24" s="16" t="n"/>
      <c r="F24" s="16" t="n"/>
      <c r="G24" s="16" t="n"/>
      <c r="H24" s="16" t="n"/>
      <c r="I24" s="10">
        <f>TEXTJOIN(", ",TRUE,IF(D24="x","Security",""), IF(E24="x","Privacy",""), IF(F24="x","Financial",""), IF(G24="x","Accessibility",""), IF(H24="x","Official Languages",""))</f>
        <v/>
      </c>
      <c r="J24" s="11" t="n"/>
      <c r="K24" s="11" t="n"/>
      <c r="L24" s="11" t="n"/>
    </row>
    <row r="25">
      <c r="A25" s="7" t="inlineStr"/>
      <c r="B25" s="7" t="inlineStr">
        <is>
          <t>Q20</t>
        </is>
      </c>
      <c r="C25" s="8" t="inlineStr">
        <is>
          <t>How well is data residency managed — are intentional copies of data tracked, controlled, and compliant with policy?</t>
        </is>
      </c>
      <c r="D25" s="16" t="n"/>
      <c r="E25" s="16" t="n"/>
      <c r="F25" s="16" t="n"/>
      <c r="G25" s="16" t="n"/>
      <c r="H25" s="16" t="n"/>
      <c r="I25" s="10">
        <f>TEXTJOIN(", ",TRUE,IF(D25="x","Security",""), IF(E25="x","Privacy",""), IF(F25="x","Financial",""), IF(G25="x","Accessibility",""), IF(H25="x","Official Languages",""))</f>
        <v/>
      </c>
      <c r="J25" s="11" t="n"/>
      <c r="K25" s="11" t="n"/>
      <c r="L25" s="11" t="n"/>
    </row>
    <row r="26">
      <c r="A26" s="7" t="inlineStr"/>
      <c r="B26" s="7" t="inlineStr">
        <is>
          <t>Q21</t>
        </is>
      </c>
      <c r="C26" s="8" t="inlineStr">
        <is>
          <t>Does the architecture support event-driven data integration patterns and real-time data processing where needed?</t>
        </is>
      </c>
      <c r="D26" s="16" t="n"/>
      <c r="E26" s="16" t="n"/>
      <c r="F26" s="16" t="n"/>
      <c r="G26" s="16" t="n"/>
      <c r="H26" s="16" t="n"/>
      <c r="I26" s="10">
        <f>TEXTJOIN(", ",TRUE,IF(D26="x","Security",""), IF(E26="x","Privacy",""), IF(F26="x","Financial",""), IF(G26="x","Accessibility",""), IF(H26="x","Official Languages",""))</f>
        <v/>
      </c>
      <c r="J26" s="11" t="n"/>
      <c r="K26" s="11" t="n"/>
      <c r="L26" s="11" t="n"/>
    </row>
    <row r="27" ht="24" customHeight="1">
      <c r="A27" s="15" t="inlineStr">
        <is>
          <t>Privacy, Protection &amp; Compliance — Section weight: 25%</t>
        </is>
      </c>
    </row>
    <row r="28">
      <c r="A28" s="7" t="inlineStr">
        <is>
          <t>S3</t>
        </is>
      </c>
      <c r="B28" s="7" t="inlineStr">
        <is>
          <t>Q22</t>
        </is>
      </c>
      <c r="C28" s="8" t="inlineStr">
        <is>
          <t>Has a Privacy Impact Assessment (PIA) been completed, and does the architecture reflect its recommendations?</t>
        </is>
      </c>
      <c r="D28" s="16" t="n"/>
      <c r="E28" s="16" t="inlineStr">
        <is>
          <t>x</t>
        </is>
      </c>
      <c r="F28" s="16" t="n"/>
      <c r="G28" s="16" t="n"/>
      <c r="H28" s="16" t="n"/>
      <c r="I28" s="10">
        <f>TEXTJOIN(", ",TRUE,IF(D28="x","Security",""), IF(E28="x","Privacy",""), IF(F28="x","Financial",""), IF(G28="x","Accessibility",""), IF(H28="x","Official Languages",""))</f>
        <v/>
      </c>
      <c r="J28" s="11" t="n"/>
      <c r="K28" s="11" t="n"/>
      <c r="L28" s="11" t="n"/>
    </row>
    <row r="29">
      <c r="A29" s="7" t="inlineStr"/>
      <c r="B29" s="7" t="inlineStr">
        <is>
          <t>Q23</t>
        </is>
      </c>
      <c r="C29" s="8" t="inlineStr">
        <is>
          <t>Is Privacy by Design embedded throughout the solution, from data collection through to disposition?</t>
        </is>
      </c>
      <c r="D29" s="16" t="n"/>
      <c r="E29" s="16" t="inlineStr">
        <is>
          <t>x</t>
        </is>
      </c>
      <c r="F29" s="16" t="n"/>
      <c r="G29" s="16" t="n"/>
      <c r="H29" s="16" t="n"/>
      <c r="I29" s="10">
        <f>TEXTJOIN(", ",TRUE,IF(D29="x","Security",""), IF(E29="x","Privacy",""), IF(F29="x","Financial",""), IF(G29="x","Accessibility",""), IF(H29="x","Official Languages",""))</f>
        <v/>
      </c>
      <c r="J29" s="11" t="n"/>
      <c r="K29" s="11" t="n"/>
      <c r="L29" s="11" t="n"/>
    </row>
    <row r="30">
      <c r="A30" s="7" t="inlineStr"/>
      <c r="B30" s="7" t="inlineStr">
        <is>
          <t>Q24</t>
        </is>
      </c>
      <c r="C30" s="8" t="inlineStr">
        <is>
          <t>How mature is data categorization — are all data assets classified by sensitivity, and is handling appropriate to classification?</t>
        </is>
      </c>
      <c r="D30" s="16" t="n"/>
      <c r="E30" s="16" t="n"/>
      <c r="F30" s="16" t="n"/>
      <c r="G30" s="16" t="n"/>
      <c r="H30" s="16" t="n"/>
      <c r="I30" s="10">
        <f>TEXTJOIN(", ",TRUE,IF(D30="x","Security",""), IF(E30="x","Privacy",""), IF(F30="x","Financial",""), IF(G30="x","Accessibility",""), IF(H30="x","Official Languages",""))</f>
        <v/>
      </c>
      <c r="J30" s="11" t="n"/>
      <c r="K30" s="11" t="n"/>
      <c r="L30" s="11" t="n"/>
    </row>
    <row r="31">
      <c r="A31" s="7" t="inlineStr"/>
      <c r="B31" s="7" t="inlineStr">
        <is>
          <t>Q25</t>
        </is>
      </c>
      <c r="C31" s="8" t="inlineStr">
        <is>
          <t>Is encryption applied at rest, in transit, and in processing for all data at the appropriate sensitivity level?</t>
        </is>
      </c>
      <c r="D31" s="16" t="inlineStr">
        <is>
          <t>x</t>
        </is>
      </c>
      <c r="E31" s="16" t="n"/>
      <c r="F31" s="16" t="n"/>
      <c r="G31" s="16" t="n"/>
      <c r="H31" s="16" t="n"/>
      <c r="I31" s="10">
        <f>TEXTJOIN(", ",TRUE,IF(D31="x","Security",""), IF(E31="x","Privacy",""), IF(F31="x","Financial",""), IF(G31="x","Accessibility",""), IF(H31="x","Official Languages",""))</f>
        <v/>
      </c>
      <c r="J31" s="11" t="n"/>
      <c r="K31" s="11" t="n"/>
      <c r="L31" s="11" t="n"/>
    </row>
    <row r="32">
      <c r="A32" s="7" t="inlineStr"/>
      <c r="B32" s="7" t="inlineStr">
        <is>
          <t>Q26</t>
        </is>
      </c>
      <c r="C32" s="8" t="inlineStr">
        <is>
          <t>Are data sovereignty requirements met — is there full awareness of where data resides, crosses borders, and is subject to foreign law?</t>
        </is>
      </c>
      <c r="D32" s="16" t="inlineStr">
        <is>
          <t>x</t>
        </is>
      </c>
      <c r="E32" s="16" t="n"/>
      <c r="F32" s="16" t="n"/>
      <c r="G32" s="16" t="n"/>
      <c r="H32" s="16" t="n"/>
      <c r="I32" s="10">
        <f>TEXTJOIN(", ",TRUE,IF(D32="x","Security",""), IF(E32="x","Privacy",""), IF(F32="x","Financial",""), IF(G32="x","Accessibility",""), IF(H32="x","Official Languages",""))</f>
        <v/>
      </c>
      <c r="J32" s="11" t="n"/>
      <c r="K32" s="11" t="n"/>
      <c r="L32" s="11" t="n"/>
    </row>
    <row r="33">
      <c r="A33" s="7" t="inlineStr"/>
      <c r="B33" s="7" t="inlineStr">
        <is>
          <t>Q27</t>
        </is>
      </c>
      <c r="C33" s="8" t="inlineStr">
        <is>
          <t>Are data retention and disposition policies enforced, including secure deletion and legal hold capabilities?</t>
        </is>
      </c>
      <c r="D33" s="16" t="inlineStr">
        <is>
          <t>x</t>
        </is>
      </c>
      <c r="E33" s="16" t="inlineStr">
        <is>
          <t>x</t>
        </is>
      </c>
      <c r="F33" s="16" t="n"/>
      <c r="G33" s="16" t="n"/>
      <c r="H33" s="16" t="n"/>
      <c r="I33" s="10">
        <f>TEXTJOIN(", ",TRUE,IF(D33="x","Security",""), IF(E33="x","Privacy",""), IF(F33="x","Financial",""), IF(G33="x","Accessibility",""), IF(H33="x","Official Languages",""))</f>
        <v/>
      </c>
      <c r="J33" s="11" t="n"/>
      <c r="K33" s="11" t="n"/>
      <c r="L33" s="11" t="n"/>
    </row>
    <row r="34">
      <c r="A34" s="7" t="inlineStr"/>
      <c r="B34" s="7" t="inlineStr">
        <is>
          <t>Q28</t>
        </is>
      </c>
      <c r="C34" s="8" t="inlineStr">
        <is>
          <t>How well are collection limitation principles applied — is only necessary data collected, with informed consent where required?</t>
        </is>
      </c>
      <c r="D34" s="16" t="n"/>
      <c r="E34" s="16" t="inlineStr">
        <is>
          <t>x</t>
        </is>
      </c>
      <c r="F34" s="16" t="n"/>
      <c r="G34" s="16" t="n"/>
      <c r="H34" s="16" t="n"/>
      <c r="I34" s="10">
        <f>TEXTJOIN(", ",TRUE,IF(D34="x","Security",""), IF(E34="x","Privacy",""), IF(F34="x","Financial",""), IF(G34="x","Accessibility",""), IF(H34="x","Official Languages",""))</f>
        <v/>
      </c>
      <c r="J34" s="11" t="n"/>
      <c r="K34" s="11" t="n"/>
      <c r="L34" s="11" t="n"/>
    </row>
    <row r="35">
      <c r="A35" s="7" t="inlineStr"/>
      <c r="B35" s="7" t="inlineStr">
        <is>
          <t>Q29</t>
        </is>
      </c>
      <c r="C35" s="8" t="inlineStr">
        <is>
          <t>Is there a documented breach response plan, and has it been tested?</t>
        </is>
      </c>
      <c r="D35" s="16" t="inlineStr">
        <is>
          <t>x</t>
        </is>
      </c>
      <c r="E35" s="16" t="n"/>
      <c r="F35" s="16" t="n"/>
      <c r="G35" s="16" t="n"/>
      <c r="H35" s="16" t="n"/>
      <c r="I35" s="10">
        <f>TEXTJOIN(", ",TRUE,IF(D35="x","Security",""), IF(E35="x","Privacy",""), IF(F35="x","Financial",""), IF(G35="x","Accessibility",""), IF(H35="x","Official Languages",""))</f>
        <v/>
      </c>
      <c r="J35" s="11" t="n"/>
      <c r="K35" s="11" t="n"/>
      <c r="L35" s="11" t="n"/>
    </row>
    <row r="36">
      <c r="A36" s="7" t="inlineStr"/>
      <c r="B36" s="7" t="inlineStr">
        <is>
          <t>Q30</t>
        </is>
      </c>
      <c r="C36" s="8" t="inlineStr">
        <is>
          <t>Are access controls enforced at the data level, ensuring role-based and attribute-based access is actively governed?</t>
        </is>
      </c>
      <c r="D36" s="16" t="inlineStr">
        <is>
          <t>x</t>
        </is>
      </c>
      <c r="E36" s="16" t="n"/>
      <c r="F36" s="16" t="n"/>
      <c r="G36" s="16" t="n"/>
      <c r="H36" s="16" t="n"/>
      <c r="I36" s="10">
        <f>TEXTJOIN(", ",TRUE,IF(D36="x","Security",""), IF(E36="x","Privacy",""), IF(F36="x","Financial",""), IF(G36="x","Accessibility",""), IF(H36="x","Official Languages",""))</f>
        <v/>
      </c>
      <c r="J36" s="11" t="n"/>
      <c r="K36" s="11" t="n"/>
      <c r="L36" s="11" t="n"/>
    </row>
    <row r="37" ht="24" customHeight="1">
      <c r="A37" s="15" t="inlineStr">
        <is>
          <t>Accessibility, Interoperability &amp; Usability — Section weight: 5%</t>
        </is>
      </c>
    </row>
    <row r="38">
      <c r="A38" s="7" t="inlineStr">
        <is>
          <t>S4</t>
        </is>
      </c>
      <c r="B38" s="7" t="inlineStr">
        <is>
          <t>Q31</t>
        </is>
      </c>
      <c r="C38" s="8" t="inlineStr">
        <is>
          <t>Does the data architecture align with FAIR principles (Findable, Accessible, Interoperable, Reusable)?</t>
        </is>
      </c>
      <c r="D38" s="16" t="n"/>
      <c r="E38" s="16" t="n"/>
      <c r="F38" s="16" t="n"/>
      <c r="G38" s="16" t="n"/>
      <c r="H38" s="16" t="n"/>
      <c r="I38" s="10">
        <f>TEXTJOIN(", ",TRUE,IF(D38="x","Security",""), IF(E38="x","Privacy",""), IF(F38="x","Financial",""), IF(G38="x","Accessibility",""), IF(H38="x","Official Languages",""))</f>
        <v/>
      </c>
      <c r="J38" s="11" t="n"/>
      <c r="K38" s="11" t="n"/>
      <c r="L38" s="11" t="n"/>
    </row>
    <row r="39">
      <c r="A39" s="7" t="inlineStr"/>
      <c r="B39" s="7" t="inlineStr">
        <is>
          <t>Q32</t>
        </is>
      </c>
      <c r="C39" s="8" t="inlineStr">
        <is>
          <t>Are APIs and data-sharing interfaces standards-based and documented, enabling downstream consumption without tight coupling?</t>
        </is>
      </c>
      <c r="D39" s="16" t="n"/>
      <c r="E39" s="16" t="n"/>
      <c r="F39" s="16" t="n"/>
      <c r="G39" s="16" t="n"/>
      <c r="H39" s="16" t="n"/>
      <c r="I39" s="10">
        <f>TEXTJOIN(", ",TRUE,IF(D39="x","Security",""), IF(E39="x","Privacy",""), IF(F39="x","Financial",""), IF(G39="x","Accessibility",""), IF(H39="x","Official Languages",""))</f>
        <v/>
      </c>
      <c r="J39" s="11" t="n"/>
      <c r="K39" s="11" t="n"/>
      <c r="L39" s="11" t="n"/>
    </row>
    <row r="40">
      <c r="A40" s="7" t="inlineStr"/>
      <c r="B40" s="7" t="inlineStr">
        <is>
          <t>Q33</t>
        </is>
      </c>
      <c r="C40" s="8" t="inlineStr">
        <is>
          <t>How accessible is data to authorized consumers, including other departments, partners, and (where appropriate) the public?</t>
        </is>
      </c>
      <c r="D40" s="16" t="inlineStr">
        <is>
          <t>x</t>
        </is>
      </c>
      <c r="E40" s="16" t="n"/>
      <c r="F40" s="16" t="n"/>
      <c r="G40" s="16" t="n"/>
      <c r="H40" s="16" t="n"/>
      <c r="I40" s="10">
        <f>TEXTJOIN(", ",TRUE,IF(D40="x","Security",""), IF(E40="x","Privacy",""), IF(F40="x","Financial",""), IF(G40="x","Accessibility",""), IF(H40="x","Official Languages",""))</f>
        <v/>
      </c>
      <c r="J40" s="11" t="n"/>
      <c r="K40" s="11" t="n"/>
      <c r="L40" s="11" t="n"/>
    </row>
    <row r="41" ht="24" customHeight="1">
      <c r="A41" s="15" t="inlineStr">
        <is>
          <t>Governance, Oversight &amp; Accountability — Section weight: 20%</t>
        </is>
      </c>
    </row>
    <row r="42">
      <c r="A42" s="7" t="inlineStr">
        <is>
          <t>S5</t>
        </is>
      </c>
      <c r="B42" s="7" t="inlineStr">
        <is>
          <t>Q34</t>
        </is>
      </c>
      <c r="C42" s="8" t="inlineStr">
        <is>
          <t>Is there a designated data owner and data steward for each key dataset, with documented accountability?</t>
        </is>
      </c>
      <c r="D42" s="16" t="n"/>
      <c r="E42" s="16" t="n"/>
      <c r="F42" s="16" t="n"/>
      <c r="G42" s="16" t="n"/>
      <c r="H42" s="16" t="n"/>
      <c r="I42" s="10">
        <f>TEXTJOIN(", ",TRUE,IF(D42="x","Security",""), IF(E42="x","Privacy",""), IF(F42="x","Financial",""), IF(G42="x","Accessibility",""), IF(H42="x","Official Languages",""))</f>
        <v/>
      </c>
      <c r="J42" s="11" t="n"/>
      <c r="K42" s="11" t="n"/>
      <c r="L42" s="11" t="n"/>
    </row>
    <row r="43">
      <c r="A43" s="7" t="inlineStr"/>
      <c r="B43" s="7" t="inlineStr">
        <is>
          <t>Q35</t>
        </is>
      </c>
      <c r="C43" s="8" t="inlineStr">
        <is>
          <t>How mature is the data governance framework — does it cover policies, standards, roles, dispute resolution, and enforcement?</t>
        </is>
      </c>
      <c r="D43" s="16" t="n"/>
      <c r="E43" s="16" t="n"/>
      <c r="F43" s="16" t="n"/>
      <c r="G43" s="16" t="n"/>
      <c r="H43" s="16" t="n"/>
      <c r="I43" s="10">
        <f>TEXTJOIN(", ",TRUE,IF(D43="x","Security",""), IF(E43="x","Privacy",""), IF(F43="x","Financial",""), IF(G43="x","Accessibility",""), IF(H43="x","Official Languages",""))</f>
        <v/>
      </c>
      <c r="J43" s="11" t="n"/>
      <c r="K43" s="11" t="n"/>
      <c r="L43" s="11" t="n"/>
    </row>
    <row r="44">
      <c r="A44" s="7" t="inlineStr"/>
      <c r="B44" s="7" t="inlineStr">
        <is>
          <t>Q36</t>
        </is>
      </c>
      <c r="C44" s="8" t="inlineStr">
        <is>
          <t>Are data governance decisions transparent and auditable, including any changes to data models, access rules, or classifications?</t>
        </is>
      </c>
      <c r="D44" s="16" t="n"/>
      <c r="E44" s="16" t="n"/>
      <c r="F44" s="16" t="n"/>
      <c r="G44" s="16" t="n"/>
      <c r="H44" s="16" t="n"/>
      <c r="I44" s="10">
        <f>TEXTJOIN(", ",TRUE,IF(D44="x","Security",""), IF(E44="x","Privacy",""), IF(F44="x","Financial",""), IF(G44="x","Accessibility",""), IF(H44="x","Official Languages",""))</f>
        <v/>
      </c>
      <c r="J44" s="11" t="n"/>
      <c r="K44" s="11" t="n"/>
      <c r="L44" s="11" t="n"/>
    </row>
    <row r="45">
      <c r="A45" s="7" t="inlineStr"/>
      <c r="B45" s="7" t="inlineStr">
        <is>
          <t>Q37</t>
        </is>
      </c>
      <c r="C45" s="8" t="inlineStr">
        <is>
          <t>Is there a process to ensure data governance keeps pace with legislative changes (Privacy Act, Access to Information, Bill C-27)?</t>
        </is>
      </c>
      <c r="D45" s="16" t="n"/>
      <c r="E45" s="16" t="inlineStr">
        <is>
          <t>x</t>
        </is>
      </c>
      <c r="F45" s="16" t="n"/>
      <c r="G45" s="16" t="n"/>
      <c r="H45" s="16" t="n"/>
      <c r="I45" s="10">
        <f>TEXTJOIN(", ",TRUE,IF(D45="x","Security",""), IF(E45="x","Privacy",""), IF(F45="x","Financial",""), IF(G45="x","Accessibility",""), IF(H45="x","Official Languages",""))</f>
        <v/>
      </c>
      <c r="J45" s="11" t="n"/>
      <c r="K45" s="11" t="n"/>
      <c r="L45" s="11" t="n"/>
    </row>
    <row r="46">
      <c r="A46" s="7" t="inlineStr"/>
      <c r="B46" s="7" t="inlineStr">
        <is>
          <t>Q38</t>
        </is>
      </c>
      <c r="C46" s="8" t="inlineStr">
        <is>
          <t>How well is data quality monitored, reported on, and escalated when thresholds are breached?</t>
        </is>
      </c>
      <c r="D46" s="16" t="inlineStr">
        <is>
          <t>x</t>
        </is>
      </c>
      <c r="E46" s="16" t="n"/>
      <c r="F46" s="16" t="n"/>
      <c r="G46" s="16" t="n"/>
      <c r="H46" s="16" t="n"/>
      <c r="I46" s="10">
        <f>TEXTJOIN(", ",TRUE,IF(D46="x","Security",""), IF(E46="x","Privacy",""), IF(F46="x","Financial",""), IF(G46="x","Accessibility",""), IF(H46="x","Official Languages",""))</f>
        <v/>
      </c>
      <c r="J46" s="11" t="n"/>
      <c r="K46" s="11" t="n"/>
      <c r="L46" s="11" t="n"/>
    </row>
    <row r="47">
      <c r="A47" s="7" t="inlineStr"/>
      <c r="B47" s="7" t="inlineStr">
        <is>
          <t>Q39</t>
        </is>
      </c>
      <c r="C47" s="8" t="inlineStr">
        <is>
          <t>Is there a regular data audit process to validate compliance with policies, identify orphaned data, and assess data health?</t>
        </is>
      </c>
      <c r="D47" s="16" t="n"/>
      <c r="E47" s="16" t="n"/>
      <c r="F47" s="16" t="n"/>
      <c r="G47" s="16" t="n"/>
      <c r="H47" s="16" t="n"/>
      <c r="I47" s="10">
        <f>TEXTJOIN(", ",TRUE,IF(D47="x","Security",""), IF(E47="x","Privacy",""), IF(F47="x","Financial",""), IF(G47="x","Accessibility",""), IF(H47="x","Official Languages",""))</f>
        <v/>
      </c>
      <c r="J47" s="11" t="n"/>
      <c r="K47" s="11" t="n"/>
      <c r="L47" s="11" t="n"/>
    </row>
  </sheetData>
  <mergeCells count="7">
    <mergeCell ref="A2:L2"/>
    <mergeCell ref="A41:L41"/>
    <mergeCell ref="A1:L1"/>
    <mergeCell ref="A37:L37"/>
    <mergeCell ref="A14:L14"/>
    <mergeCell ref="A27:L27"/>
    <mergeCell ref="A4:L4"/>
  </mergeCells>
  <dataValidations count="1">
    <dataValidation sqref="D4:H47" showDropDown="0" showInputMessage="0" showErrorMessage="0" allowBlank="1" errorTitle="Tick it or leave it" error="Choose x from the list, or leave it empty." promptTitle="Is it also about this?" prompt="x if this question is also about this subject. Empty if it is not." type="list">
      <formula1>"x"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A4E9E"/>
    <outlinePr summaryBelow="1" summaryRight="1"/>
    <pageSetUpPr/>
  </sheetPr>
  <dimension ref="A1:L4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6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6" customWidth="1" min="9" max="9"/>
    <col width="11" customWidth="1" min="10" max="10"/>
    <col width="16" customWidth="1" min="11" max="11"/>
    <col width="34" customWidth="1" min="12" max="12"/>
  </cols>
  <sheetData>
    <row r="1" ht="30" customHeight="1">
      <c r="A1" s="17" t="inlineStr">
        <is>
          <t>Application &amp; Virtual Architecture  ·  Designing agile, scalable application ecosystems</t>
        </is>
      </c>
    </row>
    <row r="2">
      <c r="A2" s="3" t="inlineStr">
        <is>
          <t xml:space="preserve">   Overall weight in GC EA score: 25%</t>
        </is>
      </c>
    </row>
    <row r="3" ht="34" customHeight="1">
      <c r="A3" s="18" t="inlineStr">
        <is>
          <t>#</t>
        </is>
      </c>
      <c r="B3" s="18" t="inlineStr">
        <is>
          <t>Q#</t>
        </is>
      </c>
      <c r="C3" s="18" t="inlineStr">
        <is>
          <t>Assessment Question</t>
        </is>
      </c>
      <c r="D3" s="19" t="inlineStr">
        <is>
          <t>Security</t>
        </is>
      </c>
      <c r="E3" s="19" t="inlineStr">
        <is>
          <t>Privacy</t>
        </is>
      </c>
      <c r="F3" s="19" t="inlineStr">
        <is>
          <t>Financial</t>
        </is>
      </c>
      <c r="G3" s="19" t="inlineStr">
        <is>
          <t>Accessibility</t>
        </is>
      </c>
      <c r="H3" s="19" t="inlineStr">
        <is>
          <t>Official Languages</t>
        </is>
      </c>
      <c r="I3" s="19" t="inlineStr">
        <is>
          <t>Topics (filled in for you)</t>
        </is>
      </c>
      <c r="J3" s="19" t="inlineStr">
        <is>
          <t>Score (0–10)</t>
        </is>
      </c>
      <c r="K3" s="19" t="inlineStr">
        <is>
          <t>Maturity Label</t>
        </is>
      </c>
      <c r="L3" s="19" t="inlineStr">
        <is>
          <t>Notes / Evidence</t>
        </is>
      </c>
    </row>
    <row r="4" ht="24" customHeight="1">
      <c r="A4" s="20" t="inlineStr">
        <is>
          <t>Defining the Current State — Section weight: 10%</t>
        </is>
      </c>
    </row>
    <row r="5">
      <c r="A5" s="7" t="inlineStr">
        <is>
          <t>S1</t>
        </is>
      </c>
      <c r="B5" s="7" t="inlineStr">
        <is>
          <t>Q1</t>
        </is>
      </c>
      <c r="C5" s="8" t="inlineStr">
        <is>
          <t>Is the current application solution fully documented, including architecture diagrams, data flows, and integration points?</t>
        </is>
      </c>
      <c r="D5" s="21" t="n"/>
      <c r="E5" s="21" t="n"/>
      <c r="F5" s="21" t="n"/>
      <c r="G5" s="21" t="n"/>
      <c r="H5" s="21" t="n"/>
      <c r="I5" s="10">
        <f>TEXTJOIN(", ",TRUE,IF(D5="x","Security",""), IF(E5="x","Privacy",""), IF(F5="x","Financial",""), IF(G5="x","Accessibility",""), IF(H5="x","Official Languages",""))</f>
        <v/>
      </c>
      <c r="J5" s="11" t="n"/>
      <c r="K5" s="11" t="n"/>
      <c r="L5" s="11" t="n"/>
    </row>
    <row r="6">
      <c r="A6" s="7" t="inlineStr"/>
      <c r="B6" s="7" t="inlineStr">
        <is>
          <t>Q2</t>
        </is>
      </c>
      <c r="C6" s="8" t="inlineStr">
        <is>
          <t>How well is the current system instrumented — are resource allocation, consumption, and application health monitored?</t>
        </is>
      </c>
      <c r="D6" s="21" t="n"/>
      <c r="E6" s="21" t="n"/>
      <c r="F6" s="21" t="n"/>
      <c r="G6" s="21" t="n"/>
      <c r="H6" s="21" t="n"/>
      <c r="I6" s="10">
        <f>TEXTJOIN(", ",TRUE,IF(D6="x","Security",""), IF(E6="x","Privacy",""), IF(F6="x","Financial",""), IF(G6="x","Accessibility",""), IF(H6="x","Official Languages",""))</f>
        <v/>
      </c>
      <c r="J6" s="11" t="n"/>
      <c r="K6" s="11" t="n"/>
      <c r="L6" s="11" t="n"/>
    </row>
    <row r="7">
      <c r="A7" s="7" t="inlineStr"/>
      <c r="B7" s="7" t="inlineStr">
        <is>
          <t>Q3</t>
        </is>
      </c>
      <c r="C7" s="8" t="inlineStr">
        <is>
          <t>What is the outstanding technical debt, and is it formally tracked in a backlog with prioritization?</t>
        </is>
      </c>
      <c r="D7" s="21" t="n"/>
      <c r="E7" s="21" t="n"/>
      <c r="F7" s="21" t="n"/>
      <c r="G7" s="21" t="n"/>
      <c r="H7" s="21" t="n"/>
      <c r="I7" s="10">
        <f>TEXTJOIN(", ",TRUE,IF(D7="x","Security",""), IF(E7="x","Privacy",""), IF(F7="x","Financial",""), IF(G7="x","Accessibility",""), IF(H7="x","Official Languages",""))</f>
        <v/>
      </c>
      <c r="J7" s="11" t="n"/>
      <c r="K7" s="11" t="n"/>
      <c r="L7" s="11" t="n"/>
    </row>
    <row r="8">
      <c r="A8" s="7" t="inlineStr"/>
      <c r="B8" s="7" t="inlineStr">
        <is>
          <t>Q4</t>
        </is>
      </c>
      <c r="C8" s="8" t="inlineStr">
        <is>
          <t>When are major software contracts expiring, and is there a renewal or replacement strategy in place?</t>
        </is>
      </c>
      <c r="D8" s="21" t="n"/>
      <c r="E8" s="21" t="n"/>
      <c r="F8" s="21" t="n"/>
      <c r="G8" s="21" t="n"/>
      <c r="H8" s="21" t="n"/>
      <c r="I8" s="10">
        <f>TEXTJOIN(", ",TRUE,IF(D8="x","Security",""), IF(E8="x","Privacy",""), IF(F8="x","Financial",""), IF(G8="x","Accessibility",""), IF(H8="x","Official Languages",""))</f>
        <v/>
      </c>
      <c r="J8" s="11" t="n"/>
      <c r="K8" s="11" t="n"/>
      <c r="L8" s="11" t="n"/>
    </row>
    <row r="9">
      <c r="A9" s="7" t="inlineStr"/>
      <c r="B9" s="7" t="inlineStr">
        <is>
          <t>Q5</t>
        </is>
      </c>
      <c r="C9" s="8" t="inlineStr">
        <is>
          <t>What known security vulnerabilities exist in the current solution, and what is the remediation status?</t>
        </is>
      </c>
      <c r="D9" s="21" t="inlineStr">
        <is>
          <t>x</t>
        </is>
      </c>
      <c r="E9" s="21" t="n"/>
      <c r="F9" s="21" t="n"/>
      <c r="G9" s="21" t="n"/>
      <c r="H9" s="21" t="n"/>
      <c r="I9" s="10">
        <f>TEXTJOIN(", ",TRUE,IF(D9="x","Security",""), IF(E9="x","Privacy",""), IF(F9="x","Financial",""), IF(G9="x","Accessibility",""), IF(H9="x","Official Languages",""))</f>
        <v/>
      </c>
      <c r="J9" s="11" t="n"/>
      <c r="K9" s="11" t="n"/>
      <c r="L9" s="11" t="n"/>
    </row>
    <row r="10">
      <c r="A10" s="7" t="inlineStr"/>
      <c r="B10" s="7" t="inlineStr">
        <is>
          <t>Q6</t>
        </is>
      </c>
      <c r="C10" s="8" t="inlineStr">
        <is>
          <t>How well understood are the delivery pipeline properties — maturity, automation, deployment frequency, and failure rate?</t>
        </is>
      </c>
      <c r="D10" s="21" t="n"/>
      <c r="E10" s="21" t="n"/>
      <c r="F10" s="21" t="n"/>
      <c r="G10" s="21" t="n"/>
      <c r="H10" s="21" t="n"/>
      <c r="I10" s="10">
        <f>TEXTJOIN(", ",TRUE,IF(D10="x","Security",""), IF(E10="x","Privacy",""), IF(F10="x","Financial",""), IF(G10="x","Accessibility",""), IF(H10="x","Official Languages",""))</f>
        <v/>
      </c>
      <c r="J10" s="11" t="n"/>
      <c r="K10" s="11" t="n"/>
      <c r="L10" s="11" t="n"/>
    </row>
    <row r="11">
      <c r="A11" s="7" t="inlineStr"/>
      <c r="B11" s="7" t="inlineStr">
        <is>
          <t>Q7</t>
        </is>
      </c>
      <c r="C11" s="8" t="inlineStr">
        <is>
          <t>What is the degree of vendor or technology lock-in, and are exit/migration pathways understood?</t>
        </is>
      </c>
      <c r="D11" s="21" t="n"/>
      <c r="E11" s="21" t="n"/>
      <c r="F11" s="21" t="n"/>
      <c r="G11" s="21" t="n"/>
      <c r="H11" s="21" t="n"/>
      <c r="I11" s="10">
        <f>TEXTJOIN(", ",TRUE,IF(D11="x","Security",""), IF(E11="x","Privacy",""), IF(F11="x","Financial",""), IF(G11="x","Accessibility",""), IF(H11="x","Official Languages",""))</f>
        <v/>
      </c>
      <c r="J11" s="11" t="n"/>
      <c r="K11" s="11" t="n"/>
      <c r="L11" s="11" t="n"/>
    </row>
    <row r="12">
      <c r="A12" s="7" t="inlineStr"/>
      <c r="B12" s="7" t="inlineStr">
        <is>
          <t>Q8</t>
        </is>
      </c>
      <c r="C12" s="8" t="inlineStr">
        <is>
          <t>Are all upstream and downstream application dependencies mapped and current?</t>
        </is>
      </c>
      <c r="D12" s="21" t="n"/>
      <c r="E12" s="21" t="n"/>
      <c r="F12" s="21" t="n"/>
      <c r="G12" s="21" t="n"/>
      <c r="H12" s="21" t="n"/>
      <c r="I12" s="10">
        <f>TEXTJOIN(", ",TRUE,IF(D12="x","Security",""), IF(E12="x","Privacy",""), IF(F12="x","Financial",""), IF(G12="x","Accessibility",""), IF(H12="x","Official Languages",""))</f>
        <v/>
      </c>
      <c r="J12" s="11" t="n"/>
      <c r="K12" s="11" t="n"/>
      <c r="L12" s="11" t="n"/>
    </row>
    <row r="13">
      <c r="A13" s="7" t="inlineStr"/>
      <c r="B13" s="7" t="inlineStr">
        <is>
          <t>Q9</t>
        </is>
      </c>
      <c r="C13" s="8" t="inlineStr">
        <is>
          <t>What is the known backlog of defects, flaws, and unresolved issues, and how is it managed?</t>
        </is>
      </c>
      <c r="D13" s="21" t="n"/>
      <c r="E13" s="21" t="n"/>
      <c r="F13" s="21" t="n"/>
      <c r="G13" s="21" t="n"/>
      <c r="H13" s="21" t="n"/>
      <c r="I13" s="10">
        <f>TEXTJOIN(", ",TRUE,IF(D13="x","Security",""), IF(E13="x","Privacy",""), IF(F13="x","Financial",""), IF(G13="x","Accessibility",""), IF(H13="x","Official Languages",""))</f>
        <v/>
      </c>
      <c r="J13" s="11" t="n"/>
      <c r="K13" s="11" t="n"/>
      <c r="L13" s="11" t="n"/>
    </row>
    <row r="14" ht="24" customHeight="1">
      <c r="A14" s="20" t="inlineStr">
        <is>
          <t>Application Architecture &amp; Build Approach — Section weight: 20%</t>
        </is>
      </c>
    </row>
    <row r="15">
      <c r="A15" s="7" t="inlineStr">
        <is>
          <t>S2</t>
        </is>
      </c>
      <c r="B15" s="7" t="inlineStr">
        <is>
          <t>Q10</t>
        </is>
      </c>
      <c r="C15" s="8" t="inlineStr">
        <is>
          <t>Is the application type (COTS, configured, custom-built, low/no-code, assembled) clearly defined and justified?</t>
        </is>
      </c>
      <c r="D15" s="21" t="n"/>
      <c r="E15" s="21" t="n"/>
      <c r="F15" s="21" t="n"/>
      <c r="G15" s="21" t="n"/>
      <c r="H15" s="21" t="n"/>
      <c r="I15" s="10">
        <f>TEXTJOIN(", ",TRUE,IF(D15="x","Security",""), IF(E15="x","Privacy",""), IF(F15="x","Financial",""), IF(G15="x","Accessibility",""), IF(H15="x","Official Languages",""))</f>
        <v/>
      </c>
      <c r="J15" s="11" t="n"/>
      <c r="K15" s="11" t="n"/>
      <c r="L15" s="11" t="n"/>
    </row>
    <row r="16">
      <c r="A16" s="7" t="inlineStr"/>
      <c r="B16" s="7" t="inlineStr">
        <is>
          <t>Q11</t>
        </is>
      </c>
      <c r="C16" s="8" t="inlineStr">
        <is>
          <t>Is the delivery methodology (agile, waterfall, hybrid) appropriate to the solution's context and documented?</t>
        </is>
      </c>
      <c r="D16" s="21" t="n"/>
      <c r="E16" s="21" t="n"/>
      <c r="F16" s="21" t="n"/>
      <c r="G16" s="21" t="n"/>
      <c r="H16" s="21" t="n"/>
      <c r="I16" s="10">
        <f>TEXTJOIN(", ",TRUE,IF(D16="x","Security",""), IF(E16="x","Privacy",""), IF(F16="x","Financial",""), IF(G16="x","Accessibility",""), IF(H16="x","Official Languages",""))</f>
        <v/>
      </c>
      <c r="J16" s="11" t="n"/>
      <c r="K16" s="11" t="n"/>
      <c r="L16" s="11" t="n"/>
    </row>
    <row r="17">
      <c r="A17" s="7" t="inlineStr"/>
      <c r="B17" s="7" t="inlineStr">
        <is>
          <t>Q12</t>
        </is>
      </c>
      <c r="C17" s="8" t="inlineStr">
        <is>
          <t>How software-defined is the solution — are configuration, policy, and infrastructure managed as code?</t>
        </is>
      </c>
      <c r="D17" s="21" t="n"/>
      <c r="E17" s="21" t="n"/>
      <c r="F17" s="21" t="n"/>
      <c r="G17" s="21" t="n"/>
      <c r="H17" s="21" t="n"/>
      <c r="I17" s="10">
        <f>TEXTJOIN(", ",TRUE,IF(D17="x","Security",""), IF(E17="x","Privacy",""), IF(F17="x","Financial",""), IF(G17="x","Accessibility",""), IF(H17="x","Official Languages",""))</f>
        <v/>
      </c>
      <c r="J17" s="11" t="n"/>
      <c r="K17" s="11" t="n"/>
      <c r="L17" s="11" t="n"/>
    </row>
    <row r="18">
      <c r="A18" s="7" t="inlineStr"/>
      <c r="B18" s="7" t="inlineStr">
        <is>
          <t>Q13</t>
        </is>
      </c>
      <c r="C18" s="8" t="inlineStr">
        <is>
          <t>Is the application designed with capabilities-based modularity, enabling components to be replaced independently?</t>
        </is>
      </c>
      <c r="D18" s="21" t="n"/>
      <c r="E18" s="21" t="n"/>
      <c r="F18" s="21" t="n"/>
      <c r="G18" s="21" t="n"/>
      <c r="H18" s="21" t="n"/>
      <c r="I18" s="10">
        <f>TEXTJOIN(", ",TRUE,IF(D18="x","Security",""), IF(E18="x","Privacy",""), IF(F18="x","Financial",""), IF(G18="x","Accessibility",""), IF(H18="x","Official Languages",""))</f>
        <v/>
      </c>
      <c r="J18" s="11" t="n"/>
      <c r="K18" s="11" t="n"/>
      <c r="L18" s="11" t="n"/>
    </row>
    <row r="19">
      <c r="A19" s="7" t="inlineStr"/>
      <c r="B19" s="7" t="inlineStr">
        <is>
          <t>Q14</t>
        </is>
      </c>
      <c r="C19" s="8" t="inlineStr">
        <is>
          <t>How are interoperability interfaces between internal components and external applications exposed and governed?</t>
        </is>
      </c>
      <c r="D19" s="21" t="n"/>
      <c r="E19" s="21" t="n"/>
      <c r="F19" s="21" t="n"/>
      <c r="G19" s="21" t="n"/>
      <c r="H19" s="21" t="n"/>
      <c r="I19" s="10">
        <f>TEXTJOIN(", ",TRUE,IF(D19="x","Security",""), IF(E19="x","Privacy",""), IF(F19="x","Financial",""), IF(G19="x","Accessibility",""), IF(H19="x","Official Languages",""))</f>
        <v/>
      </c>
      <c r="J19" s="11" t="n"/>
      <c r="K19" s="11" t="n"/>
      <c r="L19" s="11" t="n"/>
    </row>
    <row r="20">
      <c r="A20" s="7" t="inlineStr"/>
      <c r="B20" s="7" t="inlineStr">
        <is>
          <t>Q15</t>
        </is>
      </c>
      <c r="C20" s="8" t="inlineStr">
        <is>
          <t>Is intellectual property ownership clear, and are code licensing obligations tracked and managed?</t>
        </is>
      </c>
      <c r="D20" s="21" t="n"/>
      <c r="E20" s="21" t="n"/>
      <c r="F20" s="21" t="n"/>
      <c r="G20" s="21" t="n"/>
      <c r="H20" s="21" t="n"/>
      <c r="I20" s="10">
        <f>TEXTJOIN(", ",TRUE,IF(D20="x","Security",""), IF(E20="x","Privacy",""), IF(F20="x","Financial",""), IF(G20="x","Accessibility",""), IF(H20="x","Official Languages",""))</f>
        <v/>
      </c>
      <c r="J20" s="11" t="n"/>
      <c r="K20" s="11" t="n"/>
      <c r="L20" s="11" t="n"/>
    </row>
    <row r="21">
      <c r="A21" s="7" t="inlineStr"/>
      <c r="B21" s="7" t="inlineStr">
        <is>
          <t>Q16</t>
        </is>
      </c>
      <c r="C21" s="8" t="inlineStr">
        <is>
          <t>How mature is code reuse — is there a shared code repository, automated integration, and published component catalogue?</t>
        </is>
      </c>
      <c r="D21" s="21" t="n"/>
      <c r="E21" s="21" t="n"/>
      <c r="F21" s="21" t="n"/>
      <c r="G21" s="21" t="n"/>
      <c r="H21" s="21" t="n"/>
      <c r="I21" s="10">
        <f>TEXTJOIN(", ",TRUE,IF(D21="x","Security",""), IF(E21="x","Privacy",""), IF(F21="x","Financial",""), IF(G21="x","Accessibility",""), IF(H21="x","Official Languages",""))</f>
        <v/>
      </c>
      <c r="J21" s="11" t="n"/>
      <c r="K21" s="11" t="n"/>
      <c r="L21" s="11" t="n"/>
    </row>
    <row r="22">
      <c r="A22" s="7" t="inlineStr"/>
      <c r="B22" s="7" t="inlineStr">
        <is>
          <t>Q17</t>
        </is>
      </c>
      <c r="C22" s="8" t="inlineStr">
        <is>
          <t>What is the lowest required integration level (container, VM/OS, physical hardware), and is it minimized where possible?</t>
        </is>
      </c>
      <c r="D22" s="21" t="n"/>
      <c r="E22" s="21" t="n"/>
      <c r="F22" s="21" t="n"/>
      <c r="G22" s="21" t="n"/>
      <c r="H22" s="21" t="n"/>
      <c r="I22" s="10">
        <f>TEXTJOIN(", ",TRUE,IF(D22="x","Security",""), IF(E22="x","Privacy",""), IF(F22="x","Financial",""), IF(G22="x","Accessibility",""), IF(H22="x","Official Languages",""))</f>
        <v/>
      </c>
      <c r="J22" s="11" t="n"/>
      <c r="K22" s="11" t="n"/>
      <c r="L22" s="11" t="n"/>
    </row>
    <row r="23">
      <c r="A23" s="7" t="inlineStr"/>
      <c r="B23" s="7" t="inlineStr">
        <is>
          <t>Q18</t>
        </is>
      </c>
      <c r="C23" s="8" t="inlineStr">
        <is>
          <t>Are volume, redundancy, elasticity, scalability, throttling, and observability requirements defined and implemented?</t>
        </is>
      </c>
      <c r="D23" s="21" t="n"/>
      <c r="E23" s="21" t="n"/>
      <c r="F23" s="21" t="n"/>
      <c r="G23" s="21" t="n"/>
      <c r="H23" s="21" t="n"/>
      <c r="I23" s="10">
        <f>TEXTJOIN(", ",TRUE,IF(D23="x","Security",""), IF(E23="x","Privacy",""), IF(F23="x","Financial",""), IF(G23="x","Accessibility",""), IF(H23="x","Official Languages",""))</f>
        <v/>
      </c>
      <c r="J23" s="11" t="n"/>
      <c r="K23" s="11" t="n"/>
      <c r="L23" s="11" t="n"/>
    </row>
    <row r="24">
      <c r="A24" s="7" t="inlineStr"/>
      <c r="B24" s="7" t="inlineStr">
        <is>
          <t>Q19</t>
        </is>
      </c>
      <c r="C24" s="8" t="inlineStr">
        <is>
          <t>Is the application designed as external-facing, internal enterprise, or administrative — and is the design tailored accordingly?</t>
        </is>
      </c>
      <c r="D24" s="21" t="n"/>
      <c r="E24" s="21" t="n"/>
      <c r="F24" s="21" t="n"/>
      <c r="G24" s="21" t="n"/>
      <c r="H24" s="21" t="n"/>
      <c r="I24" s="10">
        <f>TEXTJOIN(", ",TRUE,IF(D24="x","Security",""), IF(E24="x","Privacy",""), IF(F24="x","Financial",""), IF(G24="x","Accessibility",""), IF(H24="x","Official Languages",""))</f>
        <v/>
      </c>
      <c r="J24" s="11" t="n"/>
      <c r="K24" s="11" t="n"/>
      <c r="L24" s="11" t="n"/>
    </row>
    <row r="25" ht="24" customHeight="1">
      <c r="A25" s="20" t="inlineStr">
        <is>
          <t>Engineering Practices &amp; Frameworks — Section weight: 20%</t>
        </is>
      </c>
    </row>
    <row r="26">
      <c r="A26" s="7" t="inlineStr">
        <is>
          <t>S3</t>
        </is>
      </c>
      <c r="B26" s="7" t="inlineStr">
        <is>
          <t>Q20</t>
        </is>
      </c>
      <c r="C26" s="8" t="inlineStr">
        <is>
          <t>How mature is the DevSecOps pipeline — including continuous integration, continuous deployment, automated testing, and security gates?</t>
        </is>
      </c>
      <c r="D26" s="21" t="inlineStr">
        <is>
          <t>x</t>
        </is>
      </c>
      <c r="E26" s="21" t="n"/>
      <c r="F26" s="21" t="n"/>
      <c r="G26" s="21" t="n"/>
      <c r="H26" s="21" t="n"/>
      <c r="I26" s="10">
        <f>TEXTJOIN(", ",TRUE,IF(D26="x","Security",""), IF(E26="x","Privacy",""), IF(F26="x","Financial",""), IF(G26="x","Accessibility",""), IF(H26="x","Official Languages",""))</f>
        <v/>
      </c>
      <c r="J26" s="11" t="n"/>
      <c r="K26" s="11" t="n"/>
      <c r="L26" s="11" t="n"/>
    </row>
    <row r="27">
      <c r="A27" s="7" t="inlineStr"/>
      <c r="B27" s="7" t="inlineStr">
        <is>
          <t>Q21</t>
        </is>
      </c>
      <c r="C27" s="8" t="inlineStr">
        <is>
          <t>Is test coverage defined, measured, and enforced — including unit, integration, regression, performance, and security testing?</t>
        </is>
      </c>
      <c r="D27" s="21" t="inlineStr">
        <is>
          <t>x</t>
        </is>
      </c>
      <c r="E27" s="21" t="n"/>
      <c r="F27" s="21" t="n"/>
      <c r="G27" s="21" t="n"/>
      <c r="H27" s="21" t="n"/>
      <c r="I27" s="10">
        <f>TEXTJOIN(", ",TRUE,IF(D27="x","Security",""), IF(E27="x","Privacy",""), IF(F27="x","Financial",""), IF(G27="x","Accessibility",""), IF(H27="x","Official Languages",""))</f>
        <v/>
      </c>
      <c r="J27" s="11" t="n"/>
      <c r="K27" s="11" t="n"/>
      <c r="L27" s="11" t="n"/>
    </row>
    <row r="28">
      <c r="A28" s="7" t="inlineStr"/>
      <c r="B28" s="7" t="inlineStr">
        <is>
          <t>Q22</t>
        </is>
      </c>
      <c r="C28" s="8" t="inlineStr">
        <is>
          <t>How well are coding standards, frameworks, and languages documented, enforced, and aligned with GC guidance?</t>
        </is>
      </c>
      <c r="D28" s="21" t="n"/>
      <c r="E28" s="21" t="n"/>
      <c r="F28" s="21" t="n"/>
      <c r="G28" s="21" t="n"/>
      <c r="H28" s="21" t="n"/>
      <c r="I28" s="10">
        <f>TEXTJOIN(", ",TRUE,IF(D28="x","Security",""), IF(E28="x","Privacy",""), IF(F28="x","Financial",""), IF(G28="x","Accessibility",""), IF(H28="x","Official Languages",""))</f>
        <v/>
      </c>
      <c r="J28" s="11" t="n"/>
      <c r="K28" s="11" t="n"/>
      <c r="L28" s="11" t="n"/>
    </row>
    <row r="29">
      <c r="A29" s="7" t="inlineStr"/>
      <c r="B29" s="7" t="inlineStr">
        <is>
          <t>Q23</t>
        </is>
      </c>
      <c r="C29" s="8" t="inlineStr">
        <is>
          <t>Are accessibility standards (WCAG 2.1 AA or equivalent) embedded in the development and QA process?</t>
        </is>
      </c>
      <c r="D29" s="21" t="n"/>
      <c r="E29" s="21" t="n"/>
      <c r="F29" s="21" t="n"/>
      <c r="G29" s="21" t="n"/>
      <c r="H29" s="21" t="n"/>
      <c r="I29" s="10">
        <f>TEXTJOIN(", ",TRUE,IF(D29="x","Security",""), IF(E29="x","Privacy",""), IF(F29="x","Financial",""), IF(G29="x","Accessibility",""), IF(H29="x","Official Languages",""))</f>
        <v/>
      </c>
      <c r="J29" s="11" t="n"/>
      <c r="K29" s="11" t="n"/>
      <c r="L29" s="11" t="n"/>
    </row>
    <row r="30">
      <c r="A30" s="7" t="inlineStr"/>
      <c r="B30" s="7" t="inlineStr">
        <is>
          <t>Q24</t>
        </is>
      </c>
      <c r="C30" s="8" t="inlineStr">
        <is>
          <t>Is there an algorithmic impact assessment (AIA) process in place for any AI/ML components in the application?</t>
        </is>
      </c>
      <c r="D30" s="21" t="n"/>
      <c r="E30" s="21" t="n"/>
      <c r="F30" s="21" t="n"/>
      <c r="G30" s="21" t="n"/>
      <c r="H30" s="21" t="n"/>
      <c r="I30" s="10">
        <f>TEXTJOIN(", ",TRUE,IF(D30="x","Security",""), IF(E30="x","Privacy",""), IF(F30="x","Financial",""), IF(G30="x","Accessibility",""), IF(H30="x","Official Languages",""))</f>
        <v/>
      </c>
      <c r="J30" s="11" t="n"/>
      <c r="K30" s="11" t="n"/>
      <c r="L30" s="11" t="n"/>
    </row>
    <row r="31">
      <c r="A31" s="7" t="inlineStr"/>
      <c r="B31" s="7" t="inlineStr">
        <is>
          <t>Q25</t>
        </is>
      </c>
      <c r="C31" s="8" t="inlineStr">
        <is>
          <t>How mature is the code review and peer review process, and is it consistently applied?</t>
        </is>
      </c>
      <c r="D31" s="21" t="n"/>
      <c r="E31" s="21" t="n"/>
      <c r="F31" s="21" t="n"/>
      <c r="G31" s="21" t="n"/>
      <c r="H31" s="21" t="n"/>
      <c r="I31" s="10">
        <f>TEXTJOIN(", ",TRUE,IF(D31="x","Security",""), IF(E31="x","Privacy",""), IF(F31="x","Financial",""), IF(G31="x","Accessibility",""), IF(H31="x","Official Languages",""))</f>
        <v/>
      </c>
      <c r="J31" s="11" t="n"/>
      <c r="K31" s="11" t="n"/>
      <c r="L31" s="11" t="n"/>
    </row>
    <row r="32">
      <c r="A32" s="7" t="inlineStr"/>
      <c r="B32" s="7" t="inlineStr">
        <is>
          <t>Q26</t>
        </is>
      </c>
      <c r="C32" s="8" t="inlineStr">
        <is>
          <t>Are application performance benchmarks established, tested against in CI/CD, and used to gate deployments?</t>
        </is>
      </c>
      <c r="D32" s="21" t="n"/>
      <c r="E32" s="21" t="n"/>
      <c r="F32" s="21" t="n"/>
      <c r="G32" s="21" t="n"/>
      <c r="H32" s="21" t="n"/>
      <c r="I32" s="10">
        <f>TEXTJOIN(", ",TRUE,IF(D32="x","Security",""), IF(E32="x","Privacy",""), IF(F32="x","Financial",""), IF(G32="x","Accessibility",""), IF(H32="x","Official Languages",""))</f>
        <v/>
      </c>
      <c r="J32" s="11" t="n"/>
      <c r="K32" s="11" t="n"/>
      <c r="L32" s="11" t="n"/>
    </row>
    <row r="33">
      <c r="A33" s="7" t="inlineStr"/>
      <c r="B33" s="7" t="inlineStr">
        <is>
          <t>Q27</t>
        </is>
      </c>
      <c r="C33" s="8" t="inlineStr">
        <is>
          <t>Is observability (logging, tracing, metrics) built into the application architecture from the start?</t>
        </is>
      </c>
      <c r="D33" s="21" t="n"/>
      <c r="E33" s="21" t="n"/>
      <c r="F33" s="21" t="n"/>
      <c r="G33" s="21" t="n"/>
      <c r="H33" s="21" t="n"/>
      <c r="I33" s="10">
        <f>TEXTJOIN(", ",TRUE,IF(D33="x","Security",""), IF(E33="x","Privacy",""), IF(F33="x","Financial",""), IF(G33="x","Accessibility",""), IF(H33="x","Official Languages",""))</f>
        <v/>
      </c>
      <c r="J33" s="11" t="n"/>
      <c r="K33" s="11" t="n"/>
      <c r="L33" s="11" t="n"/>
    </row>
    <row r="34" ht="24" customHeight="1">
      <c r="A34" s="20" t="inlineStr">
        <is>
          <t>Solution Options &amp; Ecosystem Strategy — Section weight: 50%</t>
        </is>
      </c>
    </row>
    <row r="35">
      <c r="A35" s="7" t="inlineStr">
        <is>
          <t>S4</t>
        </is>
      </c>
      <c r="B35" s="7" t="inlineStr">
        <is>
          <t>Q28</t>
        </is>
      </c>
      <c r="C35" s="8" t="inlineStr">
        <is>
          <t>Has a multi-disciplinary team — including business, security, privacy, data, and technology — been engaged in solution design?</t>
        </is>
      </c>
      <c r="D35" s="21" t="inlineStr">
        <is>
          <t>x</t>
        </is>
      </c>
      <c r="E35" s="21" t="inlineStr">
        <is>
          <t>x</t>
        </is>
      </c>
      <c r="F35" s="21" t="n"/>
      <c r="G35" s="21" t="n"/>
      <c r="H35" s="21" t="n"/>
      <c r="I35" s="10">
        <f>TEXTJOIN(", ",TRUE,IF(D35="x","Security",""), IF(E35="x","Privacy",""), IF(F35="x","Financial",""), IF(G35="x","Accessibility",""), IF(H35="x","Official Languages",""))</f>
        <v/>
      </c>
      <c r="J35" s="11" t="n"/>
      <c r="K35" s="11" t="n"/>
      <c r="L35" s="11" t="n"/>
    </row>
    <row r="36">
      <c r="A36" s="7" t="inlineStr"/>
      <c r="B36" s="7" t="inlineStr">
        <is>
          <t>Q29</t>
        </is>
      </c>
      <c r="C36" s="8" t="inlineStr">
        <is>
          <t>Were enterprise contracts and procurement pathways (GC-wide standing offers, task authorizations) explored before custom sourcing?</t>
        </is>
      </c>
      <c r="D36" s="21" t="inlineStr">
        <is>
          <t>x</t>
        </is>
      </c>
      <c r="E36" s="21" t="n"/>
      <c r="F36" s="21" t="n"/>
      <c r="G36" s="21" t="n"/>
      <c r="H36" s="21" t="n"/>
      <c r="I36" s="10">
        <f>TEXTJOIN(", ",TRUE,IF(D36="x","Security",""), IF(E36="x","Privacy",""), IF(F36="x","Financial",""), IF(G36="x","Accessibility",""), IF(H36="x","Official Languages",""))</f>
        <v/>
      </c>
      <c r="J36" s="11" t="n"/>
      <c r="K36" s="11" t="n"/>
      <c r="L36" s="11" t="n"/>
    </row>
    <row r="37">
      <c r="A37" s="7" t="inlineStr"/>
      <c r="B37" s="7" t="inlineStr">
        <is>
          <t>Q30</t>
        </is>
      </c>
      <c r="C37" s="8" t="inlineStr">
        <is>
          <t>Was optionality fully investigated — including multi-vendor, open source, and homegrown options — with a documented rationale?</t>
        </is>
      </c>
      <c r="D37" s="21" t="n"/>
      <c r="E37" s="21" t="n"/>
      <c r="F37" s="21" t="n"/>
      <c r="G37" s="21" t="n"/>
      <c r="H37" s="21" t="n"/>
      <c r="I37" s="10">
        <f>TEXTJOIN(", ",TRUE,IF(D37="x","Security",""), IF(E37="x","Privacy",""), IF(F37="x","Financial",""), IF(G37="x","Accessibility",""), IF(H37="x","Official Languages",""))</f>
        <v/>
      </c>
      <c r="J37" s="11" t="n"/>
      <c r="K37" s="11" t="n"/>
      <c r="L37" s="11" t="n"/>
    </row>
    <row r="38">
      <c r="A38" s="7" t="inlineStr"/>
      <c r="B38" s="7" t="inlineStr">
        <is>
          <t>Q31</t>
        </is>
      </c>
      <c r="C38" s="8" t="inlineStr">
        <is>
          <t>Is a Total Cost of Ownership (TCO) model available that includes build, operate, maintain, licensing, and exit costs?</t>
        </is>
      </c>
      <c r="D38" s="21" t="n"/>
      <c r="E38" s="21" t="n"/>
      <c r="F38" s="21" t="inlineStr">
        <is>
          <t>x</t>
        </is>
      </c>
      <c r="G38" s="21" t="n"/>
      <c r="H38" s="21" t="n"/>
      <c r="I38" s="10">
        <f>TEXTJOIN(", ",TRUE,IF(D38="x","Security",""), IF(E38="x","Privacy",""), IF(F38="x","Financial",""), IF(G38="x","Accessibility",""), IF(H38="x","Official Languages",""))</f>
        <v/>
      </c>
      <c r="J38" s="11" t="n"/>
      <c r="K38" s="11" t="n"/>
      <c r="L38" s="11" t="n"/>
    </row>
    <row r="39">
      <c r="A39" s="7" t="inlineStr"/>
      <c r="B39" s="7" t="inlineStr">
        <is>
          <t>Q32</t>
        </is>
      </c>
      <c r="C39" s="8" t="inlineStr">
        <is>
          <t>How well are digital sovereignty considerations addressed — are GC data and systems protected from foreign jurisdiction risk?</t>
        </is>
      </c>
      <c r="D39" s="21" t="inlineStr">
        <is>
          <t>x</t>
        </is>
      </c>
      <c r="E39" s="21" t="n"/>
      <c r="F39" s="21" t="n"/>
      <c r="G39" s="21" t="n"/>
      <c r="H39" s="21" t="n"/>
      <c r="I39" s="10">
        <f>TEXTJOIN(", ",TRUE,IF(D39="x","Security",""), IF(E39="x","Privacy",""), IF(F39="x","Financial",""), IF(G39="x","Accessibility",""), IF(H39="x","Official Languages",""))</f>
        <v/>
      </c>
      <c r="J39" s="11" t="n"/>
      <c r="K39" s="11" t="n"/>
      <c r="L39" s="11" t="n"/>
    </row>
    <row r="40">
      <c r="A40" s="7" t="inlineStr"/>
      <c r="B40" s="7" t="inlineStr">
        <is>
          <t>Q33</t>
        </is>
      </c>
      <c r="C40" s="8" t="inlineStr">
        <is>
          <t>Is the solution designed to integrate with GC-wide shared services (Sign-In Canada, GC Notify, GC Forms, etc.) where applicable?</t>
        </is>
      </c>
      <c r="D40" s="21" t="n"/>
      <c r="E40" s="21" t="n"/>
      <c r="F40" s="21" t="n"/>
      <c r="G40" s="21" t="n"/>
      <c r="H40" s="21" t="n"/>
      <c r="I40" s="10">
        <f>TEXTJOIN(", ",TRUE,IF(D40="x","Security",""), IF(E40="x","Privacy",""), IF(F40="x","Financial",""), IF(G40="x","Accessibility",""), IF(H40="x","Official Languages",""))</f>
        <v/>
      </c>
      <c r="J40" s="11" t="n"/>
      <c r="K40" s="11" t="n"/>
      <c r="L40" s="11" t="n"/>
    </row>
    <row r="41">
      <c r="A41" s="7" t="inlineStr"/>
      <c r="B41" s="7" t="inlineStr">
        <is>
          <t>Q34</t>
        </is>
      </c>
      <c r="C41" s="8" t="inlineStr">
        <is>
          <t>How well does the solution avoid unnecessary duplication with existing GC capabilities and investments?</t>
        </is>
      </c>
      <c r="D41" s="21" t="n"/>
      <c r="E41" s="21" t="n"/>
      <c r="F41" s="21" t="inlineStr">
        <is>
          <t>x</t>
        </is>
      </c>
      <c r="G41" s="21" t="n"/>
      <c r="H41" s="21" t="n"/>
      <c r="I41" s="10">
        <f>TEXTJOIN(", ",TRUE,IF(D41="x","Security",""), IF(E41="x","Privacy",""), IF(F41="x","Financial",""), IF(G41="x","Accessibility",""), IF(H41="x","Official Languages",""))</f>
        <v/>
      </c>
      <c r="J41" s="11" t="n"/>
      <c r="K41" s="11" t="n"/>
      <c r="L41" s="11" t="n"/>
    </row>
    <row r="42">
      <c r="A42" s="7" t="inlineStr"/>
      <c r="B42" s="7" t="inlineStr">
        <is>
          <t>Q35</t>
        </is>
      </c>
      <c r="C42" s="8" t="inlineStr">
        <is>
          <t>Is there a clear strategy for AI integration — including use of GC Foundation Models and GC AI Compute infrastructure?</t>
        </is>
      </c>
      <c r="D42" s="21" t="n"/>
      <c r="E42" s="21" t="n"/>
      <c r="F42" s="21" t="n"/>
      <c r="G42" s="21" t="n"/>
      <c r="H42" s="21" t="n"/>
      <c r="I42" s="10">
        <f>TEXTJOIN(", ",TRUE,IF(D42="x","Security",""), IF(E42="x","Privacy",""), IF(F42="x","Financial",""), IF(G42="x","Accessibility",""), IF(H42="x","Official Languages",""))</f>
        <v/>
      </c>
      <c r="J42" s="11" t="n"/>
      <c r="K42" s="11" t="n"/>
      <c r="L42" s="11" t="n"/>
    </row>
    <row r="43">
      <c r="A43" s="7" t="inlineStr"/>
      <c r="B43" s="7" t="inlineStr">
        <is>
          <t>Q36</t>
        </is>
      </c>
      <c r="C43" s="8" t="inlineStr">
        <is>
          <t>Is the solution designed to be decommissioned or migrated, with a documented sunset and transition strategy?</t>
        </is>
      </c>
      <c r="D43" s="21" t="n"/>
      <c r="E43" s="21" t="n"/>
      <c r="F43" s="21" t="n"/>
      <c r="G43" s="21" t="n"/>
      <c r="H43" s="21" t="n"/>
      <c r="I43" s="10">
        <f>TEXTJOIN(", ",TRUE,IF(D43="x","Security",""), IF(E43="x","Privacy",""), IF(F43="x","Financial",""), IF(G43="x","Accessibility",""), IF(H43="x","Official Languages",""))</f>
        <v/>
      </c>
      <c r="J43" s="11" t="n"/>
      <c r="K43" s="11" t="n"/>
      <c r="L43" s="11" t="n"/>
    </row>
    <row r="44">
      <c r="A44" s="7" t="inlineStr"/>
      <c r="B44" s="7" t="inlineStr">
        <is>
          <t>Q37</t>
        </is>
      </c>
      <c r="C44" s="8" t="inlineStr">
        <is>
          <t>How well are supply chain security risks addressed in the sourcing and integration of third-party components?</t>
        </is>
      </c>
      <c r="D44" s="21" t="inlineStr">
        <is>
          <t>x</t>
        </is>
      </c>
      <c r="E44" s="21" t="n"/>
      <c r="F44" s="21" t="n"/>
      <c r="G44" s="21" t="n"/>
      <c r="H44" s="21" t="n"/>
      <c r="I44" s="10">
        <f>TEXTJOIN(", ",TRUE,IF(D44="x","Security",""), IF(E44="x","Privacy",""), IF(F44="x","Financial",""), IF(G44="x","Accessibility",""), IF(H44="x","Official Languages",""))</f>
        <v/>
      </c>
      <c r="J44" s="11" t="n"/>
      <c r="K44" s="11" t="n"/>
      <c r="L44" s="11" t="n"/>
    </row>
  </sheetData>
  <mergeCells count="6">
    <mergeCell ref="A2:L2"/>
    <mergeCell ref="A25:L25"/>
    <mergeCell ref="A1:L1"/>
    <mergeCell ref="A14:L14"/>
    <mergeCell ref="A34:L34"/>
    <mergeCell ref="A4:L4"/>
  </mergeCells>
  <dataValidations count="1">
    <dataValidation sqref="D4:H44" showDropDown="0" showInputMessage="0" showErrorMessage="0" allowBlank="1" errorTitle="Tick it or leave it" error="Choose x from the list, or leave it empty." promptTitle="Is it also about this?" prompt="x if this question is also about this subject. Empty if it is not." type="list">
      <formula1>"x"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85C1E"/>
    <outlinePr summaryBelow="1" summaryRight="1"/>
    <pageSetUpPr/>
  </sheetPr>
  <dimension ref="A1:L47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6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6" customWidth="1" min="9" max="9"/>
    <col width="11" customWidth="1" min="10" max="10"/>
    <col width="16" customWidth="1" min="11" max="11"/>
    <col width="34" customWidth="1" min="12" max="12"/>
  </cols>
  <sheetData>
    <row r="1" ht="30" customHeight="1">
      <c r="A1" s="22" t="inlineStr">
        <is>
          <t>Technology &amp; Physical Architecture  ·  Building resilient, sovereign infrastructure foundations</t>
        </is>
      </c>
    </row>
    <row r="2">
      <c r="A2" s="3" t="inlineStr">
        <is>
          <t xml:space="preserve">   Overall weight in GC EA score: 25%</t>
        </is>
      </c>
    </row>
    <row r="3" ht="34" customHeight="1">
      <c r="A3" s="23" t="inlineStr">
        <is>
          <t>#</t>
        </is>
      </c>
      <c r="B3" s="23" t="inlineStr">
        <is>
          <t>Q#</t>
        </is>
      </c>
      <c r="C3" s="23" t="inlineStr">
        <is>
          <t>Assessment Question</t>
        </is>
      </c>
      <c r="D3" s="24" t="inlineStr">
        <is>
          <t>Security</t>
        </is>
      </c>
      <c r="E3" s="24" t="inlineStr">
        <is>
          <t>Privacy</t>
        </is>
      </c>
      <c r="F3" s="24" t="inlineStr">
        <is>
          <t>Financial</t>
        </is>
      </c>
      <c r="G3" s="24" t="inlineStr">
        <is>
          <t>Accessibility</t>
        </is>
      </c>
      <c r="H3" s="24" t="inlineStr">
        <is>
          <t>Official Languages</t>
        </is>
      </c>
      <c r="I3" s="24" t="inlineStr">
        <is>
          <t>Topics (filled in for you)</t>
        </is>
      </c>
      <c r="J3" s="24" t="inlineStr">
        <is>
          <t>Score (0–10)</t>
        </is>
      </c>
      <c r="K3" s="24" t="inlineStr">
        <is>
          <t>Maturity Label</t>
        </is>
      </c>
      <c r="L3" s="24" t="inlineStr">
        <is>
          <t>Notes / Evidence</t>
        </is>
      </c>
    </row>
    <row r="4" ht="24" customHeight="1">
      <c r="A4" s="25" t="inlineStr">
        <is>
          <t>Defining the Current State — Section weight: 10%</t>
        </is>
      </c>
    </row>
    <row r="5">
      <c r="A5" s="7" t="inlineStr">
        <is>
          <t>S1</t>
        </is>
      </c>
      <c r="B5" s="7" t="inlineStr">
        <is>
          <t>Q1</t>
        </is>
      </c>
      <c r="C5" s="8" t="inlineStr">
        <is>
          <t>Are all details of the current solution's hosting environment — hardware, software, network, and configuration — fully documented?</t>
        </is>
      </c>
      <c r="D5" s="26" t="n"/>
      <c r="E5" s="26" t="n"/>
      <c r="F5" s="26" t="n"/>
      <c r="G5" s="26" t="n"/>
      <c r="H5" s="26" t="n"/>
      <c r="I5" s="10">
        <f>TEXTJOIN(", ",TRUE,IF(D5="x","Security",""), IF(E5="x","Privacy",""), IF(F5="x","Financial",""), IF(G5="x","Accessibility",""), IF(H5="x","Official Languages",""))</f>
        <v/>
      </c>
      <c r="J5" s="11" t="n"/>
      <c r="K5" s="11" t="n"/>
      <c r="L5" s="11" t="n"/>
    </row>
    <row r="6">
      <c r="A6" s="7" t="inlineStr"/>
      <c r="B6" s="7" t="inlineStr">
        <is>
          <t>Q2</t>
        </is>
      </c>
      <c r="C6" s="8" t="inlineStr">
        <is>
          <t>Is the current solution healthy, with no critical alerts, capacity issues, or unresolved infrastructure-level incidents?</t>
        </is>
      </c>
      <c r="D6" s="26" t="n"/>
      <c r="E6" s="26" t="n"/>
      <c r="F6" s="26" t="n"/>
      <c r="G6" s="26" t="n"/>
      <c r="H6" s="26" t="n"/>
      <c r="I6" s="10">
        <f>TEXTJOIN(", ",TRUE,IF(D6="x","Security",""), IF(E6="x","Privacy",""), IF(F6="x","Financial",""), IF(G6="x","Accessibility",""), IF(H6="x","Official Languages",""))</f>
        <v/>
      </c>
      <c r="J6" s="11" t="n"/>
      <c r="K6" s="11" t="n"/>
      <c r="L6" s="11" t="n"/>
    </row>
    <row r="7">
      <c r="A7" s="7" t="inlineStr"/>
      <c r="B7" s="7" t="inlineStr">
        <is>
          <t>Q3</t>
        </is>
      </c>
      <c r="C7" s="8" t="inlineStr">
        <is>
          <t>Are there any imminent changes to consumed infrastructure services, and is the solution prepared for those transitions?</t>
        </is>
      </c>
      <c r="D7" s="26" t="n"/>
      <c r="E7" s="26" t="n"/>
      <c r="F7" s="26" t="n"/>
      <c r="G7" s="26" t="n"/>
      <c r="H7" s="26" t="n"/>
      <c r="I7" s="10">
        <f>TEXTJOIN(", ",TRUE,IF(D7="x","Security",""), IF(E7="x","Privacy",""), IF(F7="x","Financial",""), IF(G7="x","Accessibility",""), IF(H7="x","Official Languages",""))</f>
        <v/>
      </c>
      <c r="J7" s="11" t="n"/>
      <c r="K7" s="11" t="n"/>
      <c r="L7" s="11" t="n"/>
    </row>
    <row r="8">
      <c r="A8" s="7" t="inlineStr"/>
      <c r="B8" s="7" t="inlineStr">
        <is>
          <t>Q4</t>
        </is>
      </c>
      <c r="C8" s="8" t="inlineStr">
        <is>
          <t>Is the lifespan of the solution shorter than that of the infrastructure — and if not, is an upgrade plan in the backlog?</t>
        </is>
      </c>
      <c r="D8" s="26" t="n"/>
      <c r="E8" s="26" t="n"/>
      <c r="F8" s="26" t="n"/>
      <c r="G8" s="26" t="n"/>
      <c r="H8" s="26" t="n"/>
      <c r="I8" s="10">
        <f>TEXTJOIN(", ",TRUE,IF(D8="x","Security",""), IF(E8="x","Privacy",""), IF(F8="x","Financial",""), IF(G8="x","Accessibility",""), IF(H8="x","Official Languages",""))</f>
        <v/>
      </c>
      <c r="J8" s="11" t="n"/>
      <c r="K8" s="11" t="n"/>
      <c r="L8" s="11" t="n"/>
    </row>
    <row r="9">
      <c r="A9" s="7" t="inlineStr"/>
      <c r="B9" s="7" t="inlineStr">
        <is>
          <t>Q5</t>
        </is>
      </c>
      <c r="C9" s="8" t="inlineStr">
        <is>
          <t>How well-informed is the team about their infrastructure service provider's roadmap, changes, and service performance?</t>
        </is>
      </c>
      <c r="D9" s="26" t="n"/>
      <c r="E9" s="26" t="n"/>
      <c r="F9" s="26" t="n"/>
      <c r="G9" s="26" t="n"/>
      <c r="H9" s="26" t="n"/>
      <c r="I9" s="10">
        <f>TEXTJOIN(", ",TRUE,IF(D9="x","Security",""), IF(E9="x","Privacy",""), IF(F9="x","Financial",""), IF(G9="x","Accessibility",""), IF(H9="x","Official Languages",""))</f>
        <v/>
      </c>
      <c r="J9" s="11" t="n"/>
      <c r="K9" s="11" t="n"/>
      <c r="L9" s="11" t="n"/>
    </row>
    <row r="10">
      <c r="A10" s="7" t="inlineStr"/>
      <c r="B10" s="7" t="inlineStr">
        <is>
          <t>Q6</t>
        </is>
      </c>
      <c r="C10" s="8" t="inlineStr">
        <is>
          <t>Can infrastructure be ordered and provisioned on demand, and what lead time is required?</t>
        </is>
      </c>
      <c r="D10" s="26" t="n"/>
      <c r="E10" s="26" t="n"/>
      <c r="F10" s="26" t="n"/>
      <c r="G10" s="26" t="n"/>
      <c r="H10" s="26" t="n"/>
      <c r="I10" s="10">
        <f>TEXTJOIN(", ",TRUE,IF(D10="x","Security",""), IF(E10="x","Privacy",""), IF(F10="x","Financial",""), IF(G10="x","Accessibility",""), IF(H10="x","Official Languages",""))</f>
        <v/>
      </c>
      <c r="J10" s="11" t="n"/>
      <c r="K10" s="11" t="n"/>
      <c r="L10" s="11" t="n"/>
    </row>
    <row r="11">
      <c r="A11" s="7" t="inlineStr"/>
      <c r="B11" s="7" t="inlineStr">
        <is>
          <t>Q7</t>
        </is>
      </c>
      <c r="C11" s="8" t="inlineStr">
        <is>
          <t>Is there a clear inventory of all infrastructure components, including versions, patch levels, and support status?</t>
        </is>
      </c>
      <c r="D11" s="26" t="n"/>
      <c r="E11" s="26" t="n"/>
      <c r="F11" s="26" t="n"/>
      <c r="G11" s="26" t="n"/>
      <c r="H11" s="26" t="n"/>
      <c r="I11" s="10">
        <f>TEXTJOIN(", ",TRUE,IF(D11="x","Security",""), IF(E11="x","Privacy",""), IF(F11="x","Financial",""), IF(G11="x","Accessibility",""), IF(H11="x","Official Languages",""))</f>
        <v/>
      </c>
      <c r="J11" s="11" t="n"/>
      <c r="K11" s="11" t="n"/>
      <c r="L11" s="11" t="n"/>
    </row>
    <row r="12" ht="24" customHeight="1">
      <c r="A12" s="25" t="inlineStr">
        <is>
          <t>Infrastructure Architecture &amp; Deployment Model — Section weight: 25%</t>
        </is>
      </c>
    </row>
    <row r="13">
      <c r="A13" s="7" t="inlineStr">
        <is>
          <t>S2</t>
        </is>
      </c>
      <c r="B13" s="7" t="inlineStr">
        <is>
          <t>Q8</t>
        </is>
      </c>
      <c r="C13" s="8" t="inlineStr">
        <is>
          <t>Is the physical hosting model (on-premise EDC, public cloud, private cloud, hybrid) clearly justified and documented?</t>
        </is>
      </c>
      <c r="D13" s="26" t="n"/>
      <c r="E13" s="26" t="n"/>
      <c r="F13" s="26" t="n"/>
      <c r="G13" s="26" t="n"/>
      <c r="H13" s="26" t="n"/>
      <c r="I13" s="10">
        <f>TEXTJOIN(", ",TRUE,IF(D13="x","Security",""), IF(E13="x","Privacy",""), IF(F13="x","Financial",""), IF(G13="x","Accessibility",""), IF(H13="x","Official Languages",""))</f>
        <v/>
      </c>
      <c r="J13" s="11" t="n"/>
      <c r="K13" s="11" t="n"/>
      <c r="L13" s="11" t="n"/>
    </row>
    <row r="14">
      <c r="A14" s="7" t="inlineStr"/>
      <c r="B14" s="7" t="inlineStr">
        <is>
          <t>Q9</t>
        </is>
      </c>
      <c r="C14" s="8" t="inlineStr">
        <is>
          <t>Is the decision between shared and dedicated hardware documented with supporting rationale for cost, isolation, and performance?</t>
        </is>
      </c>
      <c r="D14" s="26" t="n"/>
      <c r="E14" s="26" t="n"/>
      <c r="F14" s="26" t="inlineStr">
        <is>
          <t>x</t>
        </is>
      </c>
      <c r="G14" s="26" t="n"/>
      <c r="H14" s="26" t="n"/>
      <c r="I14" s="10">
        <f>TEXTJOIN(", ",TRUE,IF(D14="x","Security",""), IF(E14="x","Privacy",""), IF(F14="x","Financial",""), IF(G14="x","Accessibility",""), IF(H14="x","Official Languages",""))</f>
        <v/>
      </c>
      <c r="J14" s="11" t="n"/>
      <c r="K14" s="11" t="n"/>
      <c r="L14" s="11" t="n"/>
    </row>
    <row r="15">
      <c r="A15" s="7" t="inlineStr"/>
      <c r="B15" s="7" t="inlineStr">
        <is>
          <t>Q10</t>
        </is>
      </c>
      <c r="C15" s="8" t="inlineStr">
        <is>
          <t>Are physical kiosks, IoT devices, or specialized hardware requirements identified and architecturally accommodated?</t>
        </is>
      </c>
      <c r="D15" s="26" t="n"/>
      <c r="E15" s="26" t="n"/>
      <c r="F15" s="26" t="n"/>
      <c r="G15" s="26" t="n"/>
      <c r="H15" s="26" t="n"/>
      <c r="I15" s="10">
        <f>TEXTJOIN(", ",TRUE,IF(D15="x","Security",""), IF(E15="x","Privacy",""), IF(F15="x","Financial",""), IF(G15="x","Accessibility",""), IF(H15="x","Official Languages",""))</f>
        <v/>
      </c>
      <c r="J15" s="11" t="n"/>
      <c r="K15" s="11" t="n"/>
      <c r="L15" s="11" t="n"/>
    </row>
    <row r="16">
      <c r="A16" s="7" t="inlineStr"/>
      <c r="B16" s="7" t="inlineStr">
        <is>
          <t>Q11</t>
        </is>
      </c>
      <c r="C16" s="8" t="inlineStr">
        <is>
          <t>How well does the design leverage GC-wide service consolidation, shared footprint, and enterprise infrastructure services?</t>
        </is>
      </c>
      <c r="D16" s="26" t="n"/>
      <c r="E16" s="26" t="n"/>
      <c r="F16" s="26" t="n"/>
      <c r="G16" s="26" t="n"/>
      <c r="H16" s="26" t="n"/>
      <c r="I16" s="10">
        <f>TEXTJOIN(", ",TRUE,IF(D16="x","Security",""), IF(E16="x","Privacy",""), IF(F16="x","Financial",""), IF(G16="x","Accessibility",""), IF(H16="x","Official Languages",""))</f>
        <v/>
      </c>
      <c r="J16" s="11" t="n"/>
      <c r="K16" s="11" t="n"/>
      <c r="L16" s="11" t="n"/>
    </row>
    <row r="17">
      <c r="A17" s="7" t="inlineStr"/>
      <c r="B17" s="7" t="inlineStr">
        <is>
          <t>Q12</t>
        </is>
      </c>
      <c r="C17" s="8" t="inlineStr">
        <is>
          <t>Are elasticity, burst capacity, and auto-scaling requirements defined and architecturally implemented?</t>
        </is>
      </c>
      <c r="D17" s="26" t="n"/>
      <c r="E17" s="26" t="n"/>
      <c r="F17" s="26" t="n"/>
      <c r="G17" s="26" t="n"/>
      <c r="H17" s="26" t="n"/>
      <c r="I17" s="10">
        <f>TEXTJOIN(", ",TRUE,IF(D17="x","Security",""), IF(E17="x","Privacy",""), IF(F17="x","Financial",""), IF(G17="x","Accessibility",""), IF(H17="x","Official Languages",""))</f>
        <v/>
      </c>
      <c r="J17" s="11" t="n"/>
      <c r="K17" s="11" t="n"/>
      <c r="L17" s="11" t="n"/>
    </row>
    <row r="18">
      <c r="A18" s="7" t="inlineStr"/>
      <c r="B18" s="7" t="inlineStr">
        <is>
          <t>Q13</t>
        </is>
      </c>
      <c r="C18" s="8" t="inlineStr">
        <is>
          <t>Are High-Performance Computing (HPC) and edge computing needs assessed and addressed where applicable?</t>
        </is>
      </c>
      <c r="D18" s="26" t="n"/>
      <c r="E18" s="26" t="n"/>
      <c r="F18" s="26" t="n"/>
      <c r="G18" s="26" t="n"/>
      <c r="H18" s="26" t="n"/>
      <c r="I18" s="10">
        <f>TEXTJOIN(", ",TRUE,IF(D18="x","Security",""), IF(E18="x","Privacy",""), IF(F18="x","Financial",""), IF(G18="x","Accessibility",""), IF(H18="x","Official Languages",""))</f>
        <v/>
      </c>
      <c r="J18" s="11" t="n"/>
      <c r="K18" s="11" t="n"/>
      <c r="L18" s="11" t="n"/>
    </row>
    <row r="19">
      <c r="A19" s="7" t="inlineStr"/>
      <c r="B19" s="7" t="inlineStr">
        <is>
          <t>Q14</t>
        </is>
      </c>
      <c r="C19" s="8" t="inlineStr">
        <is>
          <t>Is GC AI Compute (dedicated GC-owned/controlled GPU infrastructure) considered and evaluated as a first option for AI workloads?</t>
        </is>
      </c>
      <c r="D19" s="26" t="n"/>
      <c r="E19" s="26" t="n"/>
      <c r="F19" s="26" t="n"/>
      <c r="G19" s="26" t="n"/>
      <c r="H19" s="26" t="n"/>
      <c r="I19" s="10">
        <f>TEXTJOIN(", ",TRUE,IF(D19="x","Security",""), IF(E19="x","Privacy",""), IF(F19="x","Financial",""), IF(G19="x","Accessibility",""), IF(H19="x","Official Languages",""))</f>
        <v/>
      </c>
      <c r="J19" s="11" t="n"/>
      <c r="K19" s="11" t="n"/>
      <c r="L19" s="11" t="n"/>
    </row>
    <row r="20">
      <c r="A20" s="7" t="inlineStr"/>
      <c r="B20" s="7" t="inlineStr">
        <is>
          <t>Q15</t>
        </is>
      </c>
      <c r="C20" s="8" t="inlineStr">
        <is>
          <t>Are bandwidth, latency, and network connectivity requirements defined and met by the infrastructure design?</t>
        </is>
      </c>
      <c r="D20" s="26" t="n"/>
      <c r="E20" s="26" t="n"/>
      <c r="F20" s="26" t="n"/>
      <c r="G20" s="26" t="n"/>
      <c r="H20" s="26" t="n"/>
      <c r="I20" s="10">
        <f>TEXTJOIN(", ",TRUE,IF(D20="x","Security",""), IF(E20="x","Privacy",""), IF(F20="x","Financial",""), IF(G20="x","Accessibility",""), IF(H20="x","Official Languages",""))</f>
        <v/>
      </c>
      <c r="J20" s="11" t="n"/>
      <c r="K20" s="11" t="n"/>
      <c r="L20" s="11" t="n"/>
    </row>
    <row r="21">
      <c r="A21" s="7" t="inlineStr"/>
      <c r="B21" s="7" t="inlineStr">
        <is>
          <t>Q16</t>
        </is>
      </c>
      <c r="C21" s="8" t="inlineStr">
        <is>
          <t>Are storage volumes, IOPS, throughput, and data tiering requirements specified and provisioned appropriately?</t>
        </is>
      </c>
      <c r="D21" s="26" t="n"/>
      <c r="E21" s="26" t="n"/>
      <c r="F21" s="26" t="n"/>
      <c r="G21" s="26" t="n"/>
      <c r="H21" s="26" t="n"/>
      <c r="I21" s="10">
        <f>TEXTJOIN(", ",TRUE,IF(D21="x","Security",""), IF(E21="x","Privacy",""), IF(F21="x","Financial",""), IF(G21="x","Accessibility",""), IF(H21="x","Official Languages",""))</f>
        <v/>
      </c>
      <c r="J21" s="11" t="n"/>
      <c r="K21" s="11" t="n"/>
      <c r="L21" s="11" t="n"/>
    </row>
    <row r="22">
      <c r="A22" s="7" t="inlineStr"/>
      <c r="B22" s="7" t="inlineStr">
        <is>
          <t>Q17</t>
        </is>
      </c>
      <c r="C22" s="8" t="inlineStr">
        <is>
          <t>Is the deployment model designed to meet availability, recovery time, and recovery point objectives?</t>
        </is>
      </c>
      <c r="D22" s="26" t="n"/>
      <c r="E22" s="26" t="n"/>
      <c r="F22" s="26" t="n"/>
      <c r="G22" s="26" t="n"/>
      <c r="H22" s="26" t="n"/>
      <c r="I22" s="10">
        <f>TEXTJOIN(", ",TRUE,IF(D22="x","Security",""), IF(E22="x","Privacy",""), IF(F22="x","Financial",""), IF(G22="x","Accessibility",""), IF(H22="x","Official Languages",""))</f>
        <v/>
      </c>
      <c r="J22" s="11" t="n"/>
      <c r="K22" s="11" t="n"/>
      <c r="L22" s="11" t="n"/>
    </row>
    <row r="23" ht="24" customHeight="1">
      <c r="A23" s="25" t="inlineStr">
        <is>
          <t>Modern Engineering Patterns &amp; Platform Design — Section weight: 20%</t>
        </is>
      </c>
    </row>
    <row r="24">
      <c r="A24" s="7" t="inlineStr">
        <is>
          <t>S3</t>
        </is>
      </c>
      <c r="B24" s="7" t="inlineStr">
        <is>
          <t>Q18</t>
        </is>
      </c>
      <c r="C24" s="8" t="inlineStr">
        <is>
          <t>Is configuration and infrastructure managed as code (IaC/CaC), enabling reproducible and auditable deployments?</t>
        </is>
      </c>
      <c r="D24" s="26" t="n"/>
      <c r="E24" s="26" t="n"/>
      <c r="F24" s="26" t="n"/>
      <c r="G24" s="26" t="n"/>
      <c r="H24" s="26" t="n"/>
      <c r="I24" s="10">
        <f>TEXTJOIN(", ",TRUE,IF(D24="x","Security",""), IF(E24="x","Privacy",""), IF(F24="x","Financial",""), IF(G24="x","Accessibility",""), IF(H24="x","Official Languages",""))</f>
        <v/>
      </c>
      <c r="J24" s="11" t="n"/>
      <c r="K24" s="11" t="n"/>
      <c r="L24" s="11" t="n"/>
    </row>
    <row r="25">
      <c r="A25" s="7" t="inlineStr"/>
      <c r="B25" s="7" t="inlineStr">
        <is>
          <t>Q19</t>
        </is>
      </c>
      <c r="C25" s="8" t="inlineStr">
        <is>
          <t>How well does the team understand and apply GC-relevant infrastructure design patterns and reference architectures?</t>
        </is>
      </c>
      <c r="D25" s="26" t="n"/>
      <c r="E25" s="26" t="n"/>
      <c r="F25" s="26" t="n"/>
      <c r="G25" s="26" t="n"/>
      <c r="H25" s="26" t="n"/>
      <c r="I25" s="10">
        <f>TEXTJOIN(", ",TRUE,IF(D25="x","Security",""), IF(E25="x","Privacy",""), IF(F25="x","Financial",""), IF(G25="x","Accessibility",""), IF(H25="x","Official Languages",""))</f>
        <v/>
      </c>
      <c r="J25" s="11" t="n"/>
      <c r="K25" s="11" t="n"/>
      <c r="L25" s="11" t="n"/>
    </row>
    <row r="26">
      <c r="A26" s="7" t="inlineStr"/>
      <c r="B26" s="7" t="inlineStr">
        <is>
          <t>Q20</t>
        </is>
      </c>
      <c r="C26" s="8" t="inlineStr">
        <is>
          <t>Does the architecture embrace composable, modular designs and event-driven models where appropriate?</t>
        </is>
      </c>
      <c r="D26" s="26" t="n"/>
      <c r="E26" s="26" t="n"/>
      <c r="F26" s="26" t="n"/>
      <c r="G26" s="26" t="n"/>
      <c r="H26" s="26" t="n"/>
      <c r="I26" s="10">
        <f>TEXTJOIN(", ",TRUE,IF(D26="x","Security",""), IF(E26="x","Privacy",""), IF(F26="x","Financial",""), IF(G26="x","Accessibility",""), IF(H26="x","Official Languages",""))</f>
        <v/>
      </c>
      <c r="J26" s="11" t="n"/>
      <c r="K26" s="11" t="n"/>
      <c r="L26" s="11" t="n"/>
    </row>
    <row r="27">
      <c r="A27" s="7" t="inlineStr"/>
      <c r="B27" s="7" t="inlineStr">
        <is>
          <t>Q21</t>
        </is>
      </c>
      <c r="C27" s="8" t="inlineStr">
        <is>
          <t>Is interoperability and containerization baked into the infrastructure design from the beginning?</t>
        </is>
      </c>
      <c r="D27" s="26" t="n"/>
      <c r="E27" s="26" t="n"/>
      <c r="F27" s="26" t="n"/>
      <c r="G27" s="26" t="n"/>
      <c r="H27" s="26" t="n"/>
      <c r="I27" s="10">
        <f>TEXTJOIN(", ",TRUE,IF(D27="x","Security",""), IF(E27="x","Privacy",""), IF(F27="x","Financial",""), IF(G27="x","Accessibility",""), IF(H27="x","Official Languages",""))</f>
        <v/>
      </c>
      <c r="J27" s="11" t="n"/>
      <c r="K27" s="11" t="n"/>
      <c r="L27" s="11" t="n"/>
    </row>
    <row r="28">
      <c r="A28" s="7" t="inlineStr"/>
      <c r="B28" s="7" t="inlineStr">
        <is>
          <t>Q22</t>
        </is>
      </c>
      <c r="C28" s="8" t="inlineStr">
        <is>
          <t>Is there a documented plan and roadmap for quantum and post-quantum cryptography readiness?</t>
        </is>
      </c>
      <c r="D28" s="26" t="inlineStr">
        <is>
          <t>x</t>
        </is>
      </c>
      <c r="E28" s="26" t="n"/>
      <c r="F28" s="26" t="n"/>
      <c r="G28" s="26" t="n"/>
      <c r="H28" s="26" t="n"/>
      <c r="I28" s="10">
        <f>TEXTJOIN(", ",TRUE,IF(D28="x","Security",""), IF(E28="x","Privacy",""), IF(F28="x","Financial",""), IF(G28="x","Accessibility",""), IF(H28="x","Official Languages",""))</f>
        <v/>
      </c>
      <c r="J28" s="11" t="n"/>
      <c r="K28" s="11" t="n"/>
      <c r="L28" s="11" t="n"/>
    </row>
    <row r="29">
      <c r="A29" s="7" t="inlineStr"/>
      <c r="B29" s="7" t="inlineStr">
        <is>
          <t>Q23</t>
        </is>
      </c>
      <c r="C29" s="8" t="inlineStr">
        <is>
          <t>How mature is the use of platform engineering practices — are developer-facing platforms self-service and well-governed?</t>
        </is>
      </c>
      <c r="D29" s="26" t="n"/>
      <c r="E29" s="26" t="n"/>
      <c r="F29" s="26" t="n"/>
      <c r="G29" s="26" t="n"/>
      <c r="H29" s="26" t="n"/>
      <c r="I29" s="10">
        <f>TEXTJOIN(", ",TRUE,IF(D29="x","Security",""), IF(E29="x","Privacy",""), IF(F29="x","Financial",""), IF(G29="x","Accessibility",""), IF(H29="x","Official Languages",""))</f>
        <v/>
      </c>
      <c r="J29" s="11" t="n"/>
      <c r="K29" s="11" t="n"/>
      <c r="L29" s="11" t="n"/>
    </row>
    <row r="30">
      <c r="A30" s="7" t="inlineStr"/>
      <c r="B30" s="7" t="inlineStr">
        <is>
          <t>Q24</t>
        </is>
      </c>
      <c r="C30" s="8" t="inlineStr">
        <is>
          <t>Are orchestration and container management (e.g., Kubernetes) used appropriately and configured to GC standards?</t>
        </is>
      </c>
      <c r="D30" s="26" t="n"/>
      <c r="E30" s="26" t="n"/>
      <c r="F30" s="26" t="n"/>
      <c r="G30" s="26" t="n"/>
      <c r="H30" s="26" t="n"/>
      <c r="I30" s="10">
        <f>TEXTJOIN(", ",TRUE,IF(D30="x","Security",""), IF(E30="x","Privacy",""), IF(F30="x","Financial",""), IF(G30="x","Accessibility",""), IF(H30="x","Official Languages",""))</f>
        <v/>
      </c>
      <c r="J30" s="11" t="n"/>
      <c r="K30" s="11" t="n"/>
      <c r="L30" s="11" t="n"/>
    </row>
    <row r="31" ht="24" customHeight="1">
      <c r="A31" s="25" t="inlineStr">
        <is>
          <t>Resilience, Sovereignty &amp; Security — Section weight: 25%</t>
        </is>
      </c>
    </row>
    <row r="32">
      <c r="A32" s="7" t="inlineStr">
        <is>
          <t>S4</t>
        </is>
      </c>
      <c r="B32" s="7" t="inlineStr">
        <is>
          <t>Q25</t>
        </is>
      </c>
      <c r="C32" s="8" t="inlineStr">
        <is>
          <t>Are resilience requirements (availability tiers, fault tolerance, geo-redundancy) formally defined and validated in design?</t>
        </is>
      </c>
      <c r="D32" s="26" t="n"/>
      <c r="E32" s="26" t="n"/>
      <c r="F32" s="26" t="n"/>
      <c r="G32" s="26" t="n"/>
      <c r="H32" s="26" t="n"/>
      <c r="I32" s="10">
        <f>TEXTJOIN(", ",TRUE,IF(D32="x","Security",""), IF(E32="x","Privacy",""), IF(F32="x","Financial",""), IF(G32="x","Accessibility",""), IF(H32="x","Official Languages",""))</f>
        <v/>
      </c>
      <c r="J32" s="11" t="n"/>
      <c r="K32" s="11" t="n"/>
      <c r="L32" s="11" t="n"/>
    </row>
    <row r="33">
      <c r="A33" s="7" t="inlineStr"/>
      <c r="B33" s="7" t="inlineStr">
        <is>
          <t>Q26</t>
        </is>
      </c>
      <c r="C33" s="8" t="inlineStr">
        <is>
          <t>Is the solution's data sovereignty posture clearly documented, including data residency and foreign access risk mitigation?</t>
        </is>
      </c>
      <c r="D33" s="26" t="inlineStr">
        <is>
          <t>x</t>
        </is>
      </c>
      <c r="E33" s="26" t="n"/>
      <c r="F33" s="26" t="n"/>
      <c r="G33" s="26" t="n"/>
      <c r="H33" s="26" t="n"/>
      <c r="I33" s="10">
        <f>TEXTJOIN(", ",TRUE,IF(D33="x","Security",""), IF(E33="x","Privacy",""), IF(F33="x","Financial",""), IF(G33="x","Accessibility",""), IF(H33="x","Official Languages",""))</f>
        <v/>
      </c>
      <c r="J33" s="11" t="n"/>
      <c r="K33" s="11" t="n"/>
      <c r="L33" s="11" t="n"/>
    </row>
    <row r="34">
      <c r="A34" s="7" t="inlineStr"/>
      <c r="B34" s="7" t="inlineStr">
        <is>
          <t>Q27</t>
        </is>
      </c>
      <c r="C34" s="8" t="inlineStr">
        <is>
          <t>How mature is the zero-trust security architecture — is authentication, authorization, and segmentation enforced throughout?</t>
        </is>
      </c>
      <c r="D34" s="26" t="inlineStr">
        <is>
          <t>x</t>
        </is>
      </c>
      <c r="E34" s="26" t="n"/>
      <c r="F34" s="26" t="n"/>
      <c r="G34" s="26" t="n"/>
      <c r="H34" s="26" t="n"/>
      <c r="I34" s="10">
        <f>TEXTJOIN(", ",TRUE,IF(D34="x","Security",""), IF(E34="x","Privacy",""), IF(F34="x","Financial",""), IF(G34="x","Accessibility",""), IF(H34="x","Official Languages",""))</f>
        <v/>
      </c>
      <c r="J34" s="11" t="n"/>
      <c r="K34" s="11" t="n"/>
      <c r="L34" s="11" t="n"/>
    </row>
    <row r="35">
      <c r="A35" s="7" t="inlineStr"/>
      <c r="B35" s="7" t="inlineStr">
        <is>
          <t>Q28</t>
        </is>
      </c>
      <c r="C35" s="8" t="inlineStr">
        <is>
          <t>Is encryption applied appropriately at rest, in transit, and in processing, using GC-approved cryptographic standards?</t>
        </is>
      </c>
      <c r="D35" s="26" t="inlineStr">
        <is>
          <t>x</t>
        </is>
      </c>
      <c r="E35" s="26" t="n"/>
      <c r="F35" s="26" t="n"/>
      <c r="G35" s="26" t="n"/>
      <c r="H35" s="26" t="n"/>
      <c r="I35" s="10">
        <f>TEXTJOIN(", ",TRUE,IF(D35="x","Security",""), IF(E35="x","Privacy",""), IF(F35="x","Financial",""), IF(G35="x","Accessibility",""), IF(H35="x","Official Languages",""))</f>
        <v/>
      </c>
      <c r="J35" s="11" t="n"/>
      <c r="K35" s="11" t="n"/>
      <c r="L35" s="11" t="n"/>
    </row>
    <row r="36">
      <c r="A36" s="7" t="inlineStr"/>
      <c r="B36" s="7" t="inlineStr">
        <is>
          <t>Q29</t>
        </is>
      </c>
      <c r="C36" s="8" t="inlineStr">
        <is>
          <t>Has a Threat and Risk Assessment (TRA) or Security Assessment and Authorization (SA&amp;A) been completed and reflected in design?</t>
        </is>
      </c>
      <c r="D36" s="26" t="inlineStr">
        <is>
          <t>x</t>
        </is>
      </c>
      <c r="E36" s="26" t="n"/>
      <c r="F36" s="26" t="n"/>
      <c r="G36" s="26" t="n"/>
      <c r="H36" s="26" t="n"/>
      <c r="I36" s="10">
        <f>TEXTJOIN(", ",TRUE,IF(D36="x","Security",""), IF(E36="x","Privacy",""), IF(F36="x","Financial",""), IF(G36="x","Accessibility",""), IF(H36="x","Official Languages",""))</f>
        <v/>
      </c>
      <c r="J36" s="11" t="n"/>
      <c r="K36" s="11" t="n"/>
      <c r="L36" s="11" t="n"/>
    </row>
    <row r="37">
      <c r="A37" s="7" t="inlineStr"/>
      <c r="B37" s="7" t="inlineStr">
        <is>
          <t>Q30</t>
        </is>
      </c>
      <c r="C37" s="8" t="inlineStr">
        <is>
          <t>Are security controls validated through automated security testing, vulnerability scanning, and penetration testing?</t>
        </is>
      </c>
      <c r="D37" s="26" t="inlineStr">
        <is>
          <t>x</t>
        </is>
      </c>
      <c r="E37" s="26" t="n"/>
      <c r="F37" s="26" t="n"/>
      <c r="G37" s="26" t="n"/>
      <c r="H37" s="26" t="n"/>
      <c r="I37" s="10">
        <f>TEXTJOIN(", ",TRUE,IF(D37="x","Security",""), IF(E37="x","Privacy",""), IF(F37="x","Financial",""), IF(G37="x","Accessibility",""), IF(H37="x","Official Languages",""))</f>
        <v/>
      </c>
      <c r="J37" s="11" t="n"/>
      <c r="K37" s="11" t="n"/>
      <c r="L37" s="11" t="n"/>
    </row>
    <row r="38">
      <c r="A38" s="7" t="inlineStr"/>
      <c r="B38" s="7" t="inlineStr">
        <is>
          <t>Q31</t>
        </is>
      </c>
      <c r="C38" s="8" t="inlineStr">
        <is>
          <t>Is there a documented and tested disaster recovery plan, with defined RTO and RPO that align to business requirements?</t>
        </is>
      </c>
      <c r="D38" s="26" t="n"/>
      <c r="E38" s="26" t="n"/>
      <c r="F38" s="26" t="n"/>
      <c r="G38" s="26" t="n"/>
      <c r="H38" s="26" t="n"/>
      <c r="I38" s="10">
        <f>TEXTJOIN(", ",TRUE,IF(D38="x","Security",""), IF(E38="x","Privacy",""), IF(F38="x","Financial",""), IF(G38="x","Accessibility",""), IF(H38="x","Official Languages",""))</f>
        <v/>
      </c>
      <c r="J38" s="11" t="n"/>
      <c r="K38" s="11" t="n"/>
      <c r="L38" s="11" t="n"/>
    </row>
    <row r="39">
      <c r="A39" s="7" t="inlineStr"/>
      <c r="B39" s="7" t="inlineStr">
        <is>
          <t>Q32</t>
        </is>
      </c>
      <c r="C39" s="8" t="inlineStr">
        <is>
          <t>Are GC Cloud Guardrails and security baseline configurations implemented and continuously validated?</t>
        </is>
      </c>
      <c r="D39" s="26" t="inlineStr">
        <is>
          <t>x</t>
        </is>
      </c>
      <c r="E39" s="26" t="n"/>
      <c r="F39" s="26" t="n"/>
      <c r="G39" s="26" t="n"/>
      <c r="H39" s="26" t="n"/>
      <c r="I39" s="10">
        <f>TEXTJOIN(", ",TRUE,IF(D39="x","Security",""), IF(E39="x","Privacy",""), IF(F39="x","Financial",""), IF(G39="x","Accessibility",""), IF(H39="x","Official Languages",""))</f>
        <v/>
      </c>
      <c r="J39" s="11" t="n"/>
      <c r="K39" s="11" t="n"/>
      <c r="L39" s="11" t="n"/>
    </row>
    <row r="40" ht="24" customHeight="1">
      <c r="A40" s="25" t="inlineStr">
        <is>
          <t>Operations, Governance &amp; Continuous Management — Section weight: 20%</t>
        </is>
      </c>
    </row>
    <row r="41">
      <c r="A41" s="7" t="inlineStr">
        <is>
          <t>S5</t>
        </is>
      </c>
      <c r="B41" s="7" t="inlineStr">
        <is>
          <t>Q33</t>
        </is>
      </c>
      <c r="C41" s="8" t="inlineStr">
        <is>
          <t>Are real-time monitoring, alerting, and incident response capabilities in place and actively used?</t>
        </is>
      </c>
      <c r="D41" s="26" t="n"/>
      <c r="E41" s="26" t="n"/>
      <c r="F41" s="26" t="n"/>
      <c r="G41" s="26" t="n"/>
      <c r="H41" s="26" t="n"/>
      <c r="I41" s="10">
        <f>TEXTJOIN(", ",TRUE,IF(D41="x","Security",""), IF(E41="x","Privacy",""), IF(F41="x","Financial",""), IF(G41="x","Accessibility",""), IF(H41="x","Official Languages",""))</f>
        <v/>
      </c>
      <c r="J41" s="11" t="n"/>
      <c r="K41" s="11" t="n"/>
      <c r="L41" s="11" t="n"/>
    </row>
    <row r="42">
      <c r="A42" s="7" t="inlineStr"/>
      <c r="B42" s="7" t="inlineStr">
        <is>
          <t>Q34</t>
        </is>
      </c>
      <c r="C42" s="8" t="inlineStr">
        <is>
          <t>Is activity auditing implemented at the infrastructure level, enabling forensic investigation and compliance verification?</t>
        </is>
      </c>
      <c r="D42" s="26" t="n"/>
      <c r="E42" s="26" t="n"/>
      <c r="F42" s="26" t="n"/>
      <c r="G42" s="26" t="n"/>
      <c r="H42" s="26" t="n"/>
      <c r="I42" s="10">
        <f>TEXTJOIN(", ",TRUE,IF(D42="x","Security",""), IF(E42="x","Privacy",""), IF(F42="x","Financial",""), IF(G42="x","Accessibility",""), IF(H42="x","Official Languages",""))</f>
        <v/>
      </c>
      <c r="J42" s="11" t="n"/>
      <c r="K42" s="11" t="n"/>
      <c r="L42" s="11" t="n"/>
    </row>
    <row r="43">
      <c r="A43" s="7" t="inlineStr"/>
      <c r="B43" s="7" t="inlineStr">
        <is>
          <t>Q35</t>
        </is>
      </c>
      <c r="C43" s="8" t="inlineStr">
        <is>
          <t>How mature is the FinOps practice — are cloud and infrastructure costs tracked, attributed, optimized, and reported?</t>
        </is>
      </c>
      <c r="D43" s="26" t="n"/>
      <c r="E43" s="26" t="n"/>
      <c r="F43" s="26" t="inlineStr">
        <is>
          <t>x</t>
        </is>
      </c>
      <c r="G43" s="26" t="n"/>
      <c r="H43" s="26" t="n"/>
      <c r="I43" s="10">
        <f>TEXTJOIN(", ",TRUE,IF(D43="x","Security",""), IF(E43="x","Privacy",""), IF(F43="x","Financial",""), IF(G43="x","Accessibility",""), IF(H43="x","Official Languages",""))</f>
        <v/>
      </c>
      <c r="J43" s="11" t="n"/>
      <c r="K43" s="11" t="n"/>
      <c r="L43" s="11" t="n"/>
    </row>
    <row r="44">
      <c r="A44" s="7" t="inlineStr"/>
      <c r="B44" s="7" t="inlineStr">
        <is>
          <t>Q36</t>
        </is>
      </c>
      <c r="C44" s="8" t="inlineStr">
        <is>
          <t>Is there infrastructure-level observability (metrics, logs, traces) that provides end-to-end system visibility?</t>
        </is>
      </c>
      <c r="D44" s="26" t="n"/>
      <c r="E44" s="26" t="n"/>
      <c r="F44" s="26" t="n"/>
      <c r="G44" s="26" t="n"/>
      <c r="H44" s="26" t="n"/>
      <c r="I44" s="10">
        <f>TEXTJOIN(", ",TRUE,IF(D44="x","Security",""), IF(E44="x","Privacy",""), IF(F44="x","Financial",""), IF(G44="x","Accessibility",""), IF(H44="x","Official Languages",""))</f>
        <v/>
      </c>
      <c r="J44" s="11" t="n"/>
      <c r="K44" s="11" t="n"/>
      <c r="L44" s="11" t="n"/>
    </row>
    <row r="45">
      <c r="A45" s="7" t="inlineStr"/>
      <c r="B45" s="7" t="inlineStr">
        <is>
          <t>Q37</t>
        </is>
      </c>
      <c r="C45" s="8" t="inlineStr">
        <is>
          <t>Are resource governance policies enforced — including tagging, cost allocation, and access to shared infrastructure?</t>
        </is>
      </c>
      <c r="D45" s="26" t="n"/>
      <c r="E45" s="26" t="n"/>
      <c r="F45" s="26" t="inlineStr">
        <is>
          <t>x</t>
        </is>
      </c>
      <c r="G45" s="26" t="n"/>
      <c r="H45" s="26" t="n"/>
      <c r="I45" s="10">
        <f>TEXTJOIN(", ",TRUE,IF(D45="x","Security",""), IF(E45="x","Privacy",""), IF(F45="x","Financial",""), IF(G45="x","Accessibility",""), IF(H45="x","Official Languages",""))</f>
        <v/>
      </c>
      <c r="J45" s="11" t="n"/>
      <c r="K45" s="11" t="n"/>
      <c r="L45" s="11" t="n"/>
    </row>
    <row r="46">
      <c r="A46" s="7" t="inlineStr"/>
      <c r="B46" s="7" t="inlineStr">
        <is>
          <t>Q38</t>
        </is>
      </c>
      <c r="C46" s="8" t="inlineStr">
        <is>
          <t>Is there a continuous business need (CBN) process to evaluate whether infrastructure investment remains justified?</t>
        </is>
      </c>
      <c r="D46" s="26" t="n"/>
      <c r="E46" s="26" t="n"/>
      <c r="F46" s="26" t="inlineStr">
        <is>
          <t>x</t>
        </is>
      </c>
      <c r="G46" s="26" t="n"/>
      <c r="H46" s="26" t="n"/>
      <c r="I46" s="10">
        <f>TEXTJOIN(", ",TRUE,IF(D46="x","Security",""), IF(E46="x","Privacy",""), IF(F46="x","Financial",""), IF(G46="x","Accessibility",""), IF(H46="x","Official Languages",""))</f>
        <v/>
      </c>
      <c r="J46" s="11" t="n"/>
      <c r="K46" s="11" t="n"/>
      <c r="L46" s="11" t="n"/>
    </row>
    <row r="47">
      <c r="A47" s="7" t="inlineStr"/>
      <c r="B47" s="7" t="inlineStr">
        <is>
          <t>Q39</t>
        </is>
      </c>
      <c r="C47" s="8" t="inlineStr">
        <is>
          <t>How mature is the infrastructure change management process — are changes reviewed, approved, and traceable?</t>
        </is>
      </c>
      <c r="D47" s="26" t="n"/>
      <c r="E47" s="26" t="n"/>
      <c r="F47" s="26" t="n"/>
      <c r="G47" s="26" t="n"/>
      <c r="H47" s="26" t="n"/>
      <c r="I47" s="10">
        <f>TEXTJOIN(", ",TRUE,IF(D47="x","Security",""), IF(E47="x","Privacy",""), IF(F47="x","Financial",""), IF(G47="x","Accessibility",""), IF(H47="x","Official Languages",""))</f>
        <v/>
      </c>
      <c r="J47" s="11" t="n"/>
      <c r="K47" s="11" t="n"/>
      <c r="L47" s="11" t="n"/>
    </row>
  </sheetData>
  <mergeCells count="7">
    <mergeCell ref="A2:L2"/>
    <mergeCell ref="A1:L1"/>
    <mergeCell ref="A23:L23"/>
    <mergeCell ref="A31:L31"/>
    <mergeCell ref="A40:L40"/>
    <mergeCell ref="A12:L12"/>
    <mergeCell ref="A4:L4"/>
  </mergeCells>
  <dataValidations count="1">
    <dataValidation sqref="D4:H47" showDropDown="0" showInputMessage="0" showErrorMessage="0" allowBlank="1" errorTitle="Tick it or leave it" error="Choose x from the list, or leave it empty." promptTitle="Is it also about this?" prompt="x if this question is also about this subject. Empty if it is not." type="list">
      <formula1>"x"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2026-09-17T16:07:26Z</dcterms:created>
  <dcterms:modified xsi:type="dcterms:W3CDTF">2026-09-17T16:07:26Z</dcterms:modified>
</cp:coreProperties>
</file>