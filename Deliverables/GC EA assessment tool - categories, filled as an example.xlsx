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7" fillId="0" borderId="1" applyAlignment="1" pivotButton="0" quotePrefix="0" xfId="0">
      <alignment vertical="center"/>
    </xf>
    <xf numFmtId="0" fontId="12" fillId="4" borderId="1" applyAlignment="1" pivotButton="0" quotePrefix="0" xfId="0">
      <alignment horizontal="center" vertical="center" wrapText="1"/>
    </xf>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30" customHeight="1">
      <c r="B2" s="2" t="inlineStr">
        <is>
          <t>Filled in as an example. Every entry below came from a keyword pass over the question wording and is ours, not yours.</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6">
        <f>IF(OR(F5="",NOT(ISNUMBER(F5))),"",IFERROR(VLOOKUP(F5,'Assessment Scale'!$A$3:$C$13,3,FALSE),""))</f>
        <v/>
      </c>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6">
        <f>IF(OR(F6="",NOT(ISNUMBER(F6))),"",IFERROR(VLOOKUP(F6,'Assessment Scale'!$A$3:$C$13,3,FALSE),""))</f>
        <v/>
      </c>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6">
        <f>IF(OR(F7="",NOT(ISNUMBER(F7))),"",IFERROR(VLOOKUP(F7,'Assessment Scale'!$A$3:$C$13,3,FALSE),""))</f>
        <v/>
      </c>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6">
        <f>IF(OR(F8="",NOT(ISNUMBER(F8))),"",IFERROR(VLOOKUP(F8,'Assessment Scale'!$A$3:$C$13,3,FALSE),""))</f>
        <v/>
      </c>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6">
        <f>IF(OR(F9="",NOT(ISNUMBER(F9))),"",IFERROR(VLOOKUP(F9,'Assessment Scale'!$A$3:$C$13,3,FALSE),""))</f>
        <v/>
      </c>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6">
        <f>IF(OR(F10="",NOT(ISNUMBER(F10))),"",IFERROR(VLOOKUP(F10,'Assessment Scale'!$A$3:$C$13,3,FALSE),""))</f>
        <v/>
      </c>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6">
        <f>IF(OR(F11="",NOT(ISNUMBER(F11))),"",IFERROR(VLOOKUP(F11,'Assessment Scale'!$A$3:$C$13,3,FALSE),""))</f>
        <v/>
      </c>
      <c r="H11" s="15" t="n"/>
    </row>
    <row r="12">
      <c r="A12" s="11" t="inlineStr"/>
      <c r="B12" s="11" t="inlineStr">
        <is>
          <t>Q8</t>
        </is>
      </c>
      <c r="C12" s="12" t="inlineStr">
        <is>
          <t>How well understood are the total lifecycle costs — including build, operate, maintain, and decommission — of the current solution?</t>
        </is>
      </c>
      <c r="D12" s="17" t="inlineStr">
        <is>
          <t>Financial</t>
        </is>
      </c>
      <c r="E12" s="14" t="inlineStr">
        <is>
          <t>Scale 0-10</t>
        </is>
      </c>
      <c r="F12" s="15" t="n"/>
      <c r="G12" s="16">
        <f>IF(OR(F12="",NOT(ISNUMBER(F12))),"",IFERROR(VLOOKUP(F12,'Assessment Scale'!$A$3:$C$13,3,FALSE),""))</f>
        <v/>
      </c>
      <c r="H12" s="15" t="n"/>
    </row>
    <row r="13">
      <c r="A13" s="11" t="inlineStr"/>
      <c r="B13" s="11" t="inlineStr">
        <is>
          <t>Q9</t>
        </is>
      </c>
      <c r="C13" s="12" t="inlineStr">
        <is>
          <t>What are the current unit economics (cost per transaction, cost per entity managed) and how are they tracked?</t>
        </is>
      </c>
      <c r="D13" s="17" t="inlineStr">
        <is>
          <t>Financial</t>
        </is>
      </c>
      <c r="E13" s="14" t="inlineStr">
        <is>
          <t>Scale 0-10</t>
        </is>
      </c>
      <c r="F13" s="15" t="n"/>
      <c r="G13" s="16">
        <f>IF(OR(F13="",NOT(ISNUMBER(F13))),"",IFERROR(VLOOKUP(F13,'Assessment Scale'!$A$3:$C$13,3,FALSE),""))</f>
        <v/>
      </c>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6">
        <f>IF(OR(F14="",NOT(ISNUMBER(F14))),"",IFERROR(VLOOKUP(F14,'Assessment Scale'!$A$3:$C$13,3,FALSE),""))</f>
        <v/>
      </c>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6">
        <f>IF(OR(F15="",NOT(ISNUMBER(F15))),"",IFERROR(VLOOKUP(F15,'Assessment Scale'!$A$3:$C$13,3,FALSE),""))</f>
        <v/>
      </c>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6">
        <f>IF(OR(F16="",NOT(ISNUMBER(F16))),"",IFERROR(VLOOKUP(F16,'Assessment Scale'!$A$3:$C$13,3,FALSE),""))</f>
        <v/>
      </c>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6">
        <f>IF(OR(F17="",NOT(ISNUMBER(F17))),"",IFERROR(VLOOKUP(F17,'Assessment Scale'!$A$3:$C$13,3,FALSE),""))</f>
        <v/>
      </c>
      <c r="H17" s="15" t="n"/>
    </row>
    <row r="18">
      <c r="A18" s="11" t="inlineStr"/>
      <c r="B18" s="11" t="inlineStr">
        <is>
          <t>Q14</t>
        </is>
      </c>
      <c r="C18" s="12" t="inlineStr">
        <is>
          <t>How are universal requirements — accessibility, official languages, inclusion, and privacy — currently addressed in the solution?</t>
        </is>
      </c>
      <c r="D18" s="17" t="inlineStr">
        <is>
          <t>Privacy, Accessibility, Official Languages</t>
        </is>
      </c>
      <c r="E18" s="14" t="inlineStr">
        <is>
          <t>Scale 0-10</t>
        </is>
      </c>
      <c r="F18" s="15" t="n"/>
      <c r="G18" s="16">
        <f>IF(OR(F18="",NOT(ISNUMBER(F18))),"",IFERROR(VLOOKUP(F18,'Assessment Scale'!$A$3:$C$13,3,FALSE),""))</f>
        <v/>
      </c>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6">
        <f>IF(OR(F20="",NOT(ISNUMBER(F20))),"",IFERROR(VLOOKUP(F20,'Assessment Scale'!$A$3:$C$13,3,FALSE),""))</f>
        <v/>
      </c>
      <c r="H20" s="15" t="n"/>
    </row>
    <row r="21">
      <c r="A21" s="11" t="inlineStr"/>
      <c r="B21" s="11" t="inlineStr">
        <is>
          <t>Q16</t>
        </is>
      </c>
      <c r="C21" s="12" t="inlineStr">
        <is>
          <t>Is there a documented business case that articulates the expected value, outcomes, and measurable benefits of the proposed solution?</t>
        </is>
      </c>
      <c r="D21" s="17" t="inlineStr">
        <is>
          <t>Financial</t>
        </is>
      </c>
      <c r="E21" s="14" t="inlineStr">
        <is>
          <t>Scale 0-10</t>
        </is>
      </c>
      <c r="F21" s="15" t="n"/>
      <c r="G21" s="16">
        <f>IF(OR(F21="",NOT(ISNUMBER(F21))),"",IFERROR(VLOOKUP(F21,'Assessment Scale'!$A$3:$C$13,3,FALSE),""))</f>
        <v/>
      </c>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6">
        <f>IF(OR(F22="",NOT(ISNUMBER(F22))),"",IFERROR(VLOOKUP(F22,'Assessment Scale'!$A$3:$C$13,3,FALSE),""))</f>
        <v/>
      </c>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6">
        <f>IF(OR(F23="",NOT(ISNUMBER(F23))),"",IFERROR(VLOOKUP(F23,'Assessment Scale'!$A$3:$C$13,3,FALSE),""))</f>
        <v/>
      </c>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6">
        <f>IF(OR(F24="",NOT(ISNUMBER(F24))),"",IFERROR(VLOOKUP(F24,'Assessment Scale'!$A$3:$C$13,3,FALSE),""))</f>
        <v/>
      </c>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6">
        <f>IF(OR(F25="",NOT(ISNUMBER(F25))),"",IFERROR(VLOOKUP(F25,'Assessment Scale'!$A$3:$C$13,3,FALSE),""))</f>
        <v/>
      </c>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6">
        <f>IF(OR(F26="",NOT(ISNUMBER(F26))),"",IFERROR(VLOOKUP(F26,'Assessment Scale'!$A$3:$C$13,3,FALSE),""))</f>
        <v/>
      </c>
      <c r="H26" s="15" t="n"/>
    </row>
    <row r="27">
      <c r="A27" s="11" t="inlineStr"/>
      <c r="B27" s="11" t="inlineStr">
        <is>
          <t>Q22</t>
        </is>
      </c>
      <c r="C27" s="12" t="inlineStr">
        <is>
          <t>Is there a funding model and sourcing strategy that is sustainable across the full lifecycle of the solution?</t>
        </is>
      </c>
      <c r="D27" s="17" t="inlineStr">
        <is>
          <t>Financial</t>
        </is>
      </c>
      <c r="E27" s="14" t="inlineStr">
        <is>
          <t>Scale 0-10</t>
        </is>
      </c>
      <c r="F27" s="15" t="n"/>
      <c r="G27" s="16">
        <f>IF(OR(F27="",NOT(ISNUMBER(F27))),"",IFERROR(VLOOKUP(F27,'Assessment Scale'!$A$3:$C$13,3,FALSE),""))</f>
        <v/>
      </c>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6">
        <f>IF(OR(F28="",NOT(ISNUMBER(F28))),"",IFERROR(VLOOKUP(F28,'Assessment Scale'!$A$3:$C$13,3,FALSE),""))</f>
        <v/>
      </c>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6">
        <f>IF(OR(F29="",NOT(ISNUMBER(F29))),"",IFERROR(VLOOKUP(F29,'Assessment Scale'!$A$3:$C$13,3,FALSE),""))</f>
        <v/>
      </c>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6">
        <f>IF(OR(F30="",NOT(ISNUMBER(F30))),"",IFERROR(VLOOKUP(F30,'Assessment Scale'!$A$3:$C$13,3,FALSE),""))</f>
        <v/>
      </c>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6">
        <f>IF(OR(F31="",NOT(ISNUMBER(F31))),"",IFERROR(VLOOKUP(F31,'Assessment Scale'!$A$3:$C$13,3,FALSE),""))</f>
        <v/>
      </c>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6">
        <f>IF(OR(F32="",NOT(ISNUMBER(F32))),"",IFERROR(VLOOKUP(F32,'Assessment Scale'!$A$3:$C$13,3,FALSE),""))</f>
        <v/>
      </c>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6">
        <f>IF(OR(F34="",NOT(ISNUMBER(F34))),"",IFERROR(VLOOKUP(F34,'Assessment Scale'!$A$3:$C$13,3,FALSE),""))</f>
        <v/>
      </c>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6">
        <f>IF(OR(F35="",NOT(ISNUMBER(F35))),"",IFERROR(VLOOKUP(F35,'Assessment Scale'!$A$3:$C$13,3,FALSE),""))</f>
        <v/>
      </c>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6">
        <f>IF(OR(F36="",NOT(ISNUMBER(F36))),"",IFERROR(VLOOKUP(F36,'Assessment Scale'!$A$3:$C$13,3,FALSE),""))</f>
        <v/>
      </c>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6">
        <f>IF(OR(F37="",NOT(ISNUMBER(F37))),"",IFERROR(VLOOKUP(F37,'Assessment Scale'!$A$3:$C$13,3,FALSE),""))</f>
        <v/>
      </c>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6">
        <f>IF(OR(F38="",NOT(ISNUMBER(F38))),"",IFERROR(VLOOKUP(F38,'Assessment Scale'!$A$3:$C$13,3,FALSE),""))</f>
        <v/>
      </c>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6">
        <f>IF(OR(F39="",NOT(ISNUMBER(F39))),"",IFERROR(VLOOKUP(F39,'Assessment Scale'!$A$3:$C$13,3,FALSE),""))</f>
        <v/>
      </c>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6">
        <f>IF(OR(F40="",NOT(ISNUMBER(F40))),"",IFERROR(VLOOKUP(F40,'Assessment Scale'!$A$3:$C$13,3,FALSE),""))</f>
        <v/>
      </c>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6">
        <f>IF(OR(F41="",NOT(ISNUMBER(F41))),"",IFERROR(VLOOKUP(F41,'Assessment Scale'!$A$3:$C$13,3,FALSE),""))</f>
        <v/>
      </c>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6">
        <f>IF(OR(F42="",NOT(ISNUMBER(F42))),"",IFERROR(VLOOKUP(F42,'Assessment Scale'!$A$3:$C$13,3,FALSE),""))</f>
        <v/>
      </c>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6">
        <f>IF(OR(F44="",NOT(ISNUMBER(F44))),"",IFERROR(VLOOKUP(F44,'Assessment Scale'!$A$3:$C$13,3,FALSE),""))</f>
        <v/>
      </c>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6">
        <f>IF(OR(F45="",NOT(ISNUMBER(F45))),"",IFERROR(VLOOKUP(F45,'Assessment Scale'!$A$3:$C$13,3,FALSE),""))</f>
        <v/>
      </c>
      <c r="H45" s="15" t="n"/>
    </row>
    <row r="46">
      <c r="A46" s="11" t="inlineStr"/>
      <c r="B46" s="11" t="inlineStr">
        <is>
          <t>Q39</t>
        </is>
      </c>
      <c r="C46" s="12" t="inlineStr">
        <is>
          <t>How well are costs, prices, and unit economics tracked and published, enabling informed investment decisions?</t>
        </is>
      </c>
      <c r="D46" s="17" t="inlineStr">
        <is>
          <t>Financial</t>
        </is>
      </c>
      <c r="E46" s="14" t="inlineStr">
        <is>
          <t>Scale 0-10</t>
        </is>
      </c>
      <c r="F46" s="15" t="n"/>
      <c r="G46" s="16">
        <f>IF(OR(F46="",NOT(ISNUMBER(F46))),"",IFERROR(VLOOKUP(F46,'Assessment Scale'!$A$3:$C$13,3,FALSE),""))</f>
        <v/>
      </c>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6">
        <f>IF(OR(F47="",NOT(ISNUMBER(F47))),"",IFERROR(VLOOKUP(F47,'Assessment Scale'!$A$3:$C$13,3,FALSE),""))</f>
        <v/>
      </c>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6">
        <f>IF(OR(F48="",NOT(ISNUMBER(F48))),"",IFERROR(VLOOKUP(F48,'Assessment Scale'!$A$3:$C$13,3,FALSE),""))</f>
        <v/>
      </c>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6">
        <f>IF(OR(F49="",NOT(ISNUMBER(F49))),"",IFERROR(VLOOKUP(F49,'Assessment Scale'!$A$3:$C$13,3,FALSE),""))</f>
        <v/>
      </c>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6">
        <f>IF(OR(F50="",NOT(ISNUMBER(F50))),"",IFERROR(VLOOKUP(F50,'Assessment Scale'!$A$3:$C$13,3,FALSE),""))</f>
        <v/>
      </c>
      <c r="H50" s="15" t="n"/>
    </row>
    <row r="51">
      <c r="A51" s="11" t="inlineStr"/>
      <c r="B51" s="11" t="inlineStr">
        <is>
          <t>Q44</t>
        </is>
      </c>
      <c r="C51" s="12" t="inlineStr">
        <is>
          <t>Are periodic evaluations of continuing business need performed to assess whether the solution still justifies its cost?</t>
        </is>
      </c>
      <c r="D51" s="17" t="inlineStr">
        <is>
          <t>Financial</t>
        </is>
      </c>
      <c r="E51" s="14" t="inlineStr">
        <is>
          <t>Scale 0-10</t>
        </is>
      </c>
      <c r="F51" s="15" t="n"/>
      <c r="G51" s="16">
        <f>IF(OR(F51="",NOT(ISNUMBER(F51))),"",IFERROR(VLOOKUP(F51,'Assessment Scale'!$A$3:$C$13,3,FALSE),""))</f>
        <v/>
      </c>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6">
        <f>IF(OR(F53="",NOT(ISNUMBER(F53))),"",IFERROR(VLOOKUP(F53,'Assessment Scale'!$A$3:$C$13,3,FALSE),""))</f>
        <v/>
      </c>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6">
        <f>IF(OR(F54="",NOT(ISNUMBER(F54))),"",IFERROR(VLOOKUP(F54,'Assessment Scale'!$A$3:$C$13,3,FALSE),""))</f>
        <v/>
      </c>
      <c r="H54" s="15" t="n"/>
    </row>
    <row r="55">
      <c r="A55" s="11" t="inlineStr"/>
      <c r="B55" s="11" t="inlineStr">
        <is>
          <t>Q47</t>
        </is>
      </c>
      <c r="C55" s="12" t="inlineStr">
        <is>
          <t>Is there an established and confirmed funding strategy, including lifecycle funding beyond the initial build phase?</t>
        </is>
      </c>
      <c r="D55" s="17" t="inlineStr">
        <is>
          <t>Financial</t>
        </is>
      </c>
      <c r="E55" s="14" t="inlineStr">
        <is>
          <t>Scale 0-10</t>
        </is>
      </c>
      <c r="F55" s="15" t="n"/>
      <c r="G55" s="16">
        <f>IF(OR(F55="",NOT(ISNUMBER(F55))),"",IFERROR(VLOOKUP(F55,'Assessment Scale'!$A$3:$C$13,3,FALSE),""))</f>
        <v/>
      </c>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6">
        <f>IF(OR(F56="",NOT(ISNUMBER(F56))),"",IFERROR(VLOOKUP(F56,'Assessment Scale'!$A$3:$C$13,3,FALSE),""))</f>
        <v/>
      </c>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6">
        <f>IF(OR(F57="",NOT(ISNUMBER(F57))),"",IFERROR(VLOOKUP(F57,'Assessment Scale'!$A$3:$C$13,3,FALSE),""))</f>
        <v/>
      </c>
      <c r="H57" s="15" t="n"/>
    </row>
    <row r="58">
      <c r="A58" s="11" t="inlineStr"/>
      <c r="B58" s="11" t="inlineStr">
        <is>
          <t>Q50</t>
        </is>
      </c>
      <c r="C58" s="12" t="inlineStr">
        <is>
          <t>Has a formal threat and risk assessment (including sovereignty and security classification) been completed and reviewed?</t>
        </is>
      </c>
      <c r="D58" s="17" t="inlineStr">
        <is>
          <t>Security</t>
        </is>
      </c>
      <c r="E58" s="18" t="inlineStr">
        <is>
          <t>Yes / No</t>
        </is>
      </c>
      <c r="F58" s="15" t="n"/>
      <c r="G58" s="16">
        <f>IF(OR(F58="",NOT(ISNUMBER(F58))),"",IFERROR(VLOOKUP(F58,'Assessment Scale'!$A$3:$C$13,3,FALSE),""))</f>
        <v/>
      </c>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6">
        <f>IF(OR(F59="",NOT(ISNUMBER(F59))),"",IFERROR(VLOOKUP(F59,'Assessment Scale'!$A$3:$C$13,3,FALSE),""))</f>
        <v/>
      </c>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6">
        <f>IF(OR(F60="",NOT(ISNUMBER(F60))),"",IFERROR(VLOOKUP(F60,'Assessment Scale'!$A$3:$C$13,3,FALSE),""))</f>
        <v/>
      </c>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6">
        <f>IF(OR(F62="",NOT(ISNUMBER(F62))),"",IFERROR(VLOOKUP(F62,'Assessment Scale'!$A$3:$C$13,3,FALSE),""))</f>
        <v/>
      </c>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6">
        <f>IF(OR(F63="",NOT(ISNUMBER(F63))),"",IFERROR(VLOOKUP(F63,'Assessment Scale'!$A$3:$C$13,3,FALSE),""))</f>
        <v/>
      </c>
      <c r="H63" s="15" t="n"/>
    </row>
    <row r="64">
      <c r="A64" s="11" t="inlineStr"/>
      <c r="B64" s="11" t="inlineStr">
        <is>
          <t>Q55</t>
        </is>
      </c>
      <c r="C64" s="12" t="inlineStr">
        <is>
          <t>Is there a published roadmap with near, medium, and long-term milestones that is communicated to stakeholders?</t>
        </is>
      </c>
      <c r="D64" s="13" t="n"/>
      <c r="E64" s="18" t="inlineStr">
        <is>
          <t>Yes / No</t>
        </is>
      </c>
      <c r="F64" s="15" t="n"/>
      <c r="G64" s="16">
        <f>IF(OR(F64="",NOT(ISNUMBER(F64))),"",IFERROR(VLOOKUP(F64,'Assessment Scale'!$A$3:$C$13,3,FALSE),""))</f>
        <v/>
      </c>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6">
        <f>IF(OR(F65="",NOT(ISNUMBER(F65))),"",IFERROR(VLOOKUP(F65,'Assessment Scale'!$A$3:$C$13,3,FALSE),""))</f>
        <v/>
      </c>
      <c r="H65" s="15" t="n"/>
    </row>
    <row r="66">
      <c r="A66" s="11" t="inlineStr"/>
      <c r="B66" s="11" t="inlineStr">
        <is>
          <t>Q57</t>
        </is>
      </c>
      <c r="C66" s="12" t="inlineStr">
        <is>
          <t>Are compliance requirements (legal, regulatory, policy, accessibility, bilingualism) formally tracked and verified?</t>
        </is>
      </c>
      <c r="D66" s="17" t="inlineStr">
        <is>
          <t>Accessibility, Official Languages</t>
        </is>
      </c>
      <c r="E66" s="14" t="inlineStr">
        <is>
          <t>Scale 0-10</t>
        </is>
      </c>
      <c r="F66" s="15" t="n"/>
      <c r="G66" s="16">
        <f>IF(OR(F66="",NOT(ISNUMBER(F66))),"",IFERROR(VLOOKUP(F66,'Assessment Scale'!$A$3:$C$13,3,FALSE),""))</f>
        <v/>
      </c>
      <c r="H66" s="15" t="n"/>
    </row>
    <row r="67">
      <c r="A67" s="11" t="inlineStr"/>
      <c r="B67" s="11" t="inlineStr">
        <is>
          <t>Q58</t>
        </is>
      </c>
      <c r="C67" s="12" t="inlineStr">
        <is>
          <t>Is there a formal risk register maintained for the solution, with assigned owners and documented mitigation strategies?</t>
        </is>
      </c>
      <c r="D67" s="13" t="n"/>
      <c r="E67" s="18" t="inlineStr">
        <is>
          <t>Yes / No</t>
        </is>
      </c>
      <c r="F67" s="15" t="n"/>
      <c r="G67" s="16">
        <f>IF(OR(F67="",NOT(ISNUMBER(F67))),"",IFERROR(VLOOKUP(F67,'Assessment Scale'!$A$3:$C$13,3,FALSE),""))</f>
        <v/>
      </c>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6">
        <f>IF(OR(F68="",NOT(ISNUMBER(F68))),"",IFERROR(VLOOKUP(F68,'Assessment Scale'!$A$3:$C$13,3,FALSE),""))</f>
        <v/>
      </c>
      <c r="H68" s="15" t="n"/>
    </row>
    <row r="69">
      <c r="A69" s="11" t="inlineStr"/>
      <c r="B69" s="11" t="inlineStr">
        <is>
          <t>Q60</t>
        </is>
      </c>
      <c r="C69" s="12" t="inlineStr">
        <is>
          <t>Is there a documented and approved data governance model aligned with the solution's information and privacy requirements?</t>
        </is>
      </c>
      <c r="D69" s="17" t="inlineStr">
        <is>
          <t>Privacy</t>
        </is>
      </c>
      <c r="E69" s="14" t="inlineStr">
        <is>
          <t>Scale 0-10</t>
        </is>
      </c>
      <c r="F69" s="15" t="n"/>
      <c r="G69" s="16">
        <f>IF(OR(F69="",NOT(ISNUMBER(F69))),"",IFERROR(VLOOKUP(F69,'Assessment Scale'!$A$3:$C$13,3,FALSE),""))</f>
        <v/>
      </c>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6">
        <f>IF(OR(F70="",NOT(ISNUMBER(F70))),"",IFERROR(VLOOKUP(F70,'Assessment Scale'!$A$3:$C$13,3,FALSE),""))</f>
        <v/>
      </c>
      <c r="H70" s="15" t="n"/>
    </row>
  </sheetData>
  <mergeCells count="8">
    <mergeCell ref="A4:H4"/>
    <mergeCell ref="A43:H43"/>
    <mergeCell ref="A2:H2"/>
    <mergeCell ref="A52:H52"/>
    <mergeCell ref="A33:H33"/>
    <mergeCell ref="A19:H19"/>
    <mergeCell ref="A1:H1"/>
    <mergeCell ref="A61:H61"/>
  </mergeCells>
  <dataValidations count="3">
    <dataValidation sqref="D4:D70"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1" allowBlank="1" promptTitle="Scale or yes-or-no?" prompt="How this question is answered. Ours, and provisional: change it if it reads wrong." type="list">
      <formula1>"Scale 0-10,Yes / No"</formula1>
    </dataValidation>
    <dataValidation sqref="F4:F70"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6">
        <f>IF(OR(F5="",NOT(ISNUMBER(F5))),"",IFERROR(VLOOKUP(F5,'Assessment Scale'!$A$3:$C$13,3,FALSE),""))</f>
        <v/>
      </c>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6">
        <f>IF(OR(F6="",NOT(ISNUMBER(F6))),"",IFERROR(VLOOKUP(F6,'Assessment Scale'!$A$3:$C$13,3,FALSE),""))</f>
        <v/>
      </c>
      <c r="H6" s="15" t="n"/>
    </row>
    <row r="7">
      <c r="A7" s="11" t="inlineStr"/>
      <c r="B7" s="11" t="inlineStr">
        <is>
          <t>Q3</t>
        </is>
      </c>
      <c r="C7" s="12" t="inlineStr">
        <is>
          <t>How well understood are data volumes, growth rates, residency requirements, and encryption posture?</t>
        </is>
      </c>
      <c r="D7" s="17" t="inlineStr">
        <is>
          <t>Security</t>
        </is>
      </c>
      <c r="E7" s="14" t="inlineStr">
        <is>
          <t>Scale 0-10</t>
        </is>
      </c>
      <c r="F7" s="15" t="n"/>
      <c r="G7" s="16">
        <f>IF(OR(F7="",NOT(ISNUMBER(F7))),"",IFERROR(VLOOKUP(F7,'Assessment Scale'!$A$3:$C$13,3,FALSE),""))</f>
        <v/>
      </c>
      <c r="H7" s="15" t="n"/>
    </row>
    <row r="8">
      <c r="A8" s="11" t="inlineStr"/>
      <c r="B8" s="11" t="inlineStr">
        <is>
          <t>Q4</t>
        </is>
      </c>
      <c r="C8" s="12" t="inlineStr">
        <is>
          <t>Is the lifespan and full data lifecycle — from creation to disposition — mapped and governed?</t>
        </is>
      </c>
      <c r="D8" s="13" t="n"/>
      <c r="E8" s="14" t="inlineStr">
        <is>
          <t>Scale 0-10</t>
        </is>
      </c>
      <c r="F8" s="15" t="n"/>
      <c r="G8" s="16">
        <f>IF(OR(F8="",NOT(ISNUMBER(F8))),"",IFERROR(VLOOKUP(F8,'Assessment Scale'!$A$3:$C$13,3,FALSE),""))</f>
        <v/>
      </c>
      <c r="H8" s="15" t="n"/>
    </row>
    <row r="9">
      <c r="A9" s="11" t="inlineStr"/>
      <c r="B9" s="11" t="inlineStr">
        <is>
          <t>Q5</t>
        </is>
      </c>
      <c r="C9" s="12" t="inlineStr">
        <is>
          <t>Are data formats proprietary or based on open, interoperable standards?</t>
        </is>
      </c>
      <c r="D9" s="13" t="n"/>
      <c r="E9" s="14" t="inlineStr">
        <is>
          <t>Scale 0-10</t>
        </is>
      </c>
      <c r="F9" s="15" t="n"/>
      <c r="G9" s="16">
        <f>IF(OR(F9="",NOT(ISNUMBER(F9))),"",IFERROR(VLOOKUP(F9,'Assessment Scale'!$A$3:$C$13,3,FALSE),""))</f>
        <v/>
      </c>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6">
        <f>IF(OR(F10="",NOT(ISNUMBER(F10))),"",IFERROR(VLOOKUP(F10,'Assessment Scale'!$A$3:$C$13,3,FALSE),""))</f>
        <v/>
      </c>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6">
        <f>IF(OR(F11="",NOT(ISNUMBER(F11))),"",IFERROR(VLOOKUP(F11,'Assessment Scale'!$A$3:$C$13,3,FALSE),""))</f>
        <v/>
      </c>
      <c r="H11" s="15" t="n"/>
    </row>
    <row r="12">
      <c r="A12" s="11" t="inlineStr"/>
      <c r="B12" s="11" t="inlineStr">
        <is>
          <t>Q8</t>
        </is>
      </c>
      <c r="C12" s="12" t="inlineStr">
        <is>
          <t>How mature are data access controls, auditing mechanisms, and the ability to trace who accessed what and when?</t>
        </is>
      </c>
      <c r="D12" s="17" t="inlineStr">
        <is>
          <t>Security</t>
        </is>
      </c>
      <c r="E12" s="14" t="inlineStr">
        <is>
          <t>Scale 0-10</t>
        </is>
      </c>
      <c r="F12" s="15" t="n"/>
      <c r="G12" s="16">
        <f>IF(OR(F12="",NOT(ISNUMBER(F12))),"",IFERROR(VLOOKUP(F12,'Assessment Scale'!$A$3:$C$13,3,FALSE),""))</f>
        <v/>
      </c>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6">
        <f>IF(OR(F13="",NOT(ISNUMBER(F13))),"",IFERROR(VLOOKUP(F13,'Assessment Scale'!$A$3:$C$13,3,FALSE),""))</f>
        <v/>
      </c>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6">
        <f>IF(OR(F15="",NOT(ISNUMBER(F15))),"",IFERROR(VLOOKUP(F15,'Assessment Scale'!$A$3:$C$13,3,FALSE),""))</f>
        <v/>
      </c>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6">
        <f>IF(OR(F16="",NOT(ISNUMBER(F16))),"",IFERROR(VLOOKUP(F16,'Assessment Scale'!$A$3:$C$13,3,FALSE),""))</f>
        <v/>
      </c>
      <c r="H16" s="15" t="n"/>
    </row>
    <row r="17">
      <c r="A17" s="11" t="inlineStr"/>
      <c r="B17" s="11" t="inlineStr">
        <is>
          <t>Q12</t>
        </is>
      </c>
      <c r="C17" s="12" t="inlineStr">
        <is>
          <t>Is data lifecycle governance established, covering creation, versioning, archiving, and secure disposition?</t>
        </is>
      </c>
      <c r="D17" s="17" t="inlineStr">
        <is>
          <t>Security</t>
        </is>
      </c>
      <c r="E17" s="14" t="inlineStr">
        <is>
          <t>Scale 0-10</t>
        </is>
      </c>
      <c r="F17" s="15" t="n"/>
      <c r="G17" s="16">
        <f>IF(OR(F17="",NOT(ISNUMBER(F17))),"",IFERROR(VLOOKUP(F17,'Assessment Scale'!$A$3:$C$13,3,FALSE),""))</f>
        <v/>
      </c>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6">
        <f>IF(OR(F18="",NOT(ISNUMBER(F18))),"",IFERROR(VLOOKUP(F18,'Assessment Scale'!$A$3:$C$13,3,FALSE),""))</f>
        <v/>
      </c>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6">
        <f>IF(OR(F19="",NOT(ISNUMBER(F19))),"",IFERROR(VLOOKUP(F19,'Assessment Scale'!$A$3:$C$13,3,FALSE),""))</f>
        <v/>
      </c>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6">
        <f>IF(OR(F20="",NOT(ISNUMBER(F20))),"",IFERROR(VLOOKUP(F20,'Assessment Scale'!$A$3:$C$13,3,FALSE),""))</f>
        <v/>
      </c>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6">
        <f>IF(OR(F21="",NOT(ISNUMBER(F21))),"",IFERROR(VLOOKUP(F21,'Assessment Scale'!$A$3:$C$13,3,FALSE),""))</f>
        <v/>
      </c>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6">
        <f>IF(OR(F22="",NOT(ISNUMBER(F22))),"",IFERROR(VLOOKUP(F22,'Assessment Scale'!$A$3:$C$13,3,FALSE),""))</f>
        <v/>
      </c>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6">
        <f>IF(OR(F23="",NOT(ISNUMBER(F23))),"",IFERROR(VLOOKUP(F23,'Assessment Scale'!$A$3:$C$13,3,FALSE),""))</f>
        <v/>
      </c>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6">
        <f>IF(OR(F24="",NOT(ISNUMBER(F24))),"",IFERROR(VLOOKUP(F24,'Assessment Scale'!$A$3:$C$13,3,FALSE),""))</f>
        <v/>
      </c>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6">
        <f>IF(OR(F25="",NOT(ISNUMBER(F25))),"",IFERROR(VLOOKUP(F25,'Assessment Scale'!$A$3:$C$13,3,FALSE),""))</f>
        <v/>
      </c>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6">
        <f>IF(OR(F26="",NOT(ISNUMBER(F26))),"",IFERROR(VLOOKUP(F26,'Assessment Scale'!$A$3:$C$13,3,FALSE),""))</f>
        <v/>
      </c>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7" t="inlineStr">
        <is>
          <t>Privacy</t>
        </is>
      </c>
      <c r="E28" s="18" t="inlineStr">
        <is>
          <t>Yes / No</t>
        </is>
      </c>
      <c r="F28" s="15" t="n"/>
      <c r="G28" s="16">
        <f>IF(OR(F28="",NOT(ISNUMBER(F28))),"",IFERROR(VLOOKUP(F28,'Assessment Scale'!$A$3:$C$13,3,FALSE),""))</f>
        <v/>
      </c>
      <c r="H28" s="15" t="n"/>
    </row>
    <row r="29">
      <c r="A29" s="11" t="inlineStr"/>
      <c r="B29" s="11" t="inlineStr">
        <is>
          <t>Q23</t>
        </is>
      </c>
      <c r="C29" s="12" t="inlineStr">
        <is>
          <t>Is Privacy by Design embedded throughout the solution, from data collection through to disposition?</t>
        </is>
      </c>
      <c r="D29" s="17" t="inlineStr">
        <is>
          <t>Privacy</t>
        </is>
      </c>
      <c r="E29" s="14" t="inlineStr">
        <is>
          <t>Scale 0-10</t>
        </is>
      </c>
      <c r="F29" s="15" t="n"/>
      <c r="G29" s="16">
        <f>IF(OR(F29="",NOT(ISNUMBER(F29))),"",IFERROR(VLOOKUP(F29,'Assessment Scale'!$A$3:$C$13,3,FALSE),""))</f>
        <v/>
      </c>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6">
        <f>IF(OR(F30="",NOT(ISNUMBER(F30))),"",IFERROR(VLOOKUP(F30,'Assessment Scale'!$A$3:$C$13,3,FALSE),""))</f>
        <v/>
      </c>
      <c r="H30" s="15" t="n"/>
    </row>
    <row r="31">
      <c r="A31" s="11" t="inlineStr"/>
      <c r="B31" s="11" t="inlineStr">
        <is>
          <t>Q25</t>
        </is>
      </c>
      <c r="C31" s="12" t="inlineStr">
        <is>
          <t>Is encryption applied at rest, in transit, and in processing for all data at the appropriate sensitivity level?</t>
        </is>
      </c>
      <c r="D31" s="17" t="inlineStr">
        <is>
          <t>Security</t>
        </is>
      </c>
      <c r="E31" s="14" t="inlineStr">
        <is>
          <t>Scale 0-10</t>
        </is>
      </c>
      <c r="F31" s="15" t="n"/>
      <c r="G31" s="16">
        <f>IF(OR(F31="",NOT(ISNUMBER(F31))),"",IFERROR(VLOOKUP(F31,'Assessment Scale'!$A$3:$C$13,3,FALSE),""))</f>
        <v/>
      </c>
      <c r="H31" s="15" t="n"/>
    </row>
    <row r="32">
      <c r="A32" s="11" t="inlineStr"/>
      <c r="B32" s="11" t="inlineStr">
        <is>
          <t>Q26</t>
        </is>
      </c>
      <c r="C32" s="12" t="inlineStr">
        <is>
          <t>Are data sovereignty requirements met — is there full awareness of where data resides, crosses borders, and is subject to foreign law?</t>
        </is>
      </c>
      <c r="D32" s="17" t="inlineStr">
        <is>
          <t>Security</t>
        </is>
      </c>
      <c r="E32" s="14" t="inlineStr">
        <is>
          <t>Scale 0-10</t>
        </is>
      </c>
      <c r="F32" s="15" t="n"/>
      <c r="G32" s="16">
        <f>IF(OR(F32="",NOT(ISNUMBER(F32))),"",IFERROR(VLOOKUP(F32,'Assessment Scale'!$A$3:$C$13,3,FALSE),""))</f>
        <v/>
      </c>
      <c r="H32" s="15" t="n"/>
    </row>
    <row r="33">
      <c r="A33" s="11" t="inlineStr"/>
      <c r="B33" s="11" t="inlineStr">
        <is>
          <t>Q27</t>
        </is>
      </c>
      <c r="C33" s="12" t="inlineStr">
        <is>
          <t>Are data retention and disposition policies enforced, including secure deletion and legal hold capabilities?</t>
        </is>
      </c>
      <c r="D33" s="17" t="inlineStr">
        <is>
          <t>Security, Privacy</t>
        </is>
      </c>
      <c r="E33" s="14" t="inlineStr">
        <is>
          <t>Scale 0-10</t>
        </is>
      </c>
      <c r="F33" s="15" t="n"/>
      <c r="G33" s="16">
        <f>IF(OR(F33="",NOT(ISNUMBER(F33))),"",IFERROR(VLOOKUP(F33,'Assessment Scale'!$A$3:$C$13,3,FALSE),""))</f>
        <v/>
      </c>
      <c r="H33" s="15" t="n"/>
    </row>
    <row r="34">
      <c r="A34" s="11" t="inlineStr"/>
      <c r="B34" s="11" t="inlineStr">
        <is>
          <t>Q28</t>
        </is>
      </c>
      <c r="C34" s="12" t="inlineStr">
        <is>
          <t>How well are collection limitation principles applied — is only necessary data collected, with informed consent where required?</t>
        </is>
      </c>
      <c r="D34" s="17" t="inlineStr">
        <is>
          <t>Privacy</t>
        </is>
      </c>
      <c r="E34" s="14" t="inlineStr">
        <is>
          <t>Scale 0-10</t>
        </is>
      </c>
      <c r="F34" s="15" t="n"/>
      <c r="G34" s="16">
        <f>IF(OR(F34="",NOT(ISNUMBER(F34))),"",IFERROR(VLOOKUP(F34,'Assessment Scale'!$A$3:$C$13,3,FALSE),""))</f>
        <v/>
      </c>
      <c r="H34" s="15" t="n"/>
    </row>
    <row r="35">
      <c r="A35" s="11" t="inlineStr"/>
      <c r="B35" s="11" t="inlineStr">
        <is>
          <t>Q29</t>
        </is>
      </c>
      <c r="C35" s="12" t="inlineStr">
        <is>
          <t>Is there a documented breach response plan, and has it been tested?</t>
        </is>
      </c>
      <c r="D35" s="17" t="inlineStr">
        <is>
          <t>Security</t>
        </is>
      </c>
      <c r="E35" s="18" t="inlineStr">
        <is>
          <t>Yes / No</t>
        </is>
      </c>
      <c r="F35" s="15" t="n"/>
      <c r="G35" s="16">
        <f>IF(OR(F35="",NOT(ISNUMBER(F35))),"",IFERROR(VLOOKUP(F35,'Assessment Scale'!$A$3:$C$13,3,FALSE),""))</f>
        <v/>
      </c>
      <c r="H35" s="15" t="n"/>
    </row>
    <row r="36">
      <c r="A36" s="11" t="inlineStr"/>
      <c r="B36" s="11" t="inlineStr">
        <is>
          <t>Q30</t>
        </is>
      </c>
      <c r="C36" s="12" t="inlineStr">
        <is>
          <t>Are access controls enforced at the data level, ensuring role-based and attribute-based access is actively governed?</t>
        </is>
      </c>
      <c r="D36" s="17" t="inlineStr">
        <is>
          <t>Security</t>
        </is>
      </c>
      <c r="E36" s="14" t="inlineStr">
        <is>
          <t>Scale 0-10</t>
        </is>
      </c>
      <c r="F36" s="15" t="n"/>
      <c r="G36" s="16">
        <f>IF(OR(F36="",NOT(ISNUMBER(F36))),"",IFERROR(VLOOKUP(F36,'Assessment Scale'!$A$3:$C$13,3,FALSE),""))</f>
        <v/>
      </c>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6">
        <f>IF(OR(F38="",NOT(ISNUMBER(F38))),"",IFERROR(VLOOKUP(F38,'Assessment Scale'!$A$3:$C$13,3,FALSE),""))</f>
        <v/>
      </c>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6">
        <f>IF(OR(F39="",NOT(ISNUMBER(F39))),"",IFERROR(VLOOKUP(F39,'Assessment Scale'!$A$3:$C$13,3,FALSE),""))</f>
        <v/>
      </c>
      <c r="H39" s="15" t="n"/>
    </row>
    <row r="40">
      <c r="A40" s="11" t="inlineStr"/>
      <c r="B40" s="11" t="inlineStr">
        <is>
          <t>Q33</t>
        </is>
      </c>
      <c r="C40" s="12" t="inlineStr">
        <is>
          <t>How accessible is data to authorized consumers, including other departments, partners, and (where appropriate) the public?</t>
        </is>
      </c>
      <c r="D40" s="17" t="inlineStr">
        <is>
          <t>Security</t>
        </is>
      </c>
      <c r="E40" s="14" t="inlineStr">
        <is>
          <t>Scale 0-10</t>
        </is>
      </c>
      <c r="F40" s="15" t="n"/>
      <c r="G40" s="16">
        <f>IF(OR(F40="",NOT(ISNUMBER(F40))),"",IFERROR(VLOOKUP(F40,'Assessment Scale'!$A$3:$C$13,3,FALSE),""))</f>
        <v/>
      </c>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6">
        <f>IF(OR(F42="",NOT(ISNUMBER(F42))),"",IFERROR(VLOOKUP(F42,'Assessment Scale'!$A$3:$C$13,3,FALSE),""))</f>
        <v/>
      </c>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6">
        <f>IF(OR(F43="",NOT(ISNUMBER(F43))),"",IFERROR(VLOOKUP(F43,'Assessment Scale'!$A$3:$C$13,3,FALSE),""))</f>
        <v/>
      </c>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6">
        <f>IF(OR(F44="",NOT(ISNUMBER(F44))),"",IFERROR(VLOOKUP(F44,'Assessment Scale'!$A$3:$C$13,3,FALSE),""))</f>
        <v/>
      </c>
      <c r="H44" s="15" t="n"/>
    </row>
    <row r="45">
      <c r="A45" s="11" t="inlineStr"/>
      <c r="B45" s="11" t="inlineStr">
        <is>
          <t>Q37</t>
        </is>
      </c>
      <c r="C45" s="12" t="inlineStr">
        <is>
          <t>Is there a process to ensure data governance keeps pace with legislative changes (Privacy Act, Access to Information, Bill C-27)?</t>
        </is>
      </c>
      <c r="D45" s="17" t="inlineStr">
        <is>
          <t>Privacy</t>
        </is>
      </c>
      <c r="E45" s="14" t="inlineStr">
        <is>
          <t>Scale 0-10</t>
        </is>
      </c>
      <c r="F45" s="15" t="n"/>
      <c r="G45" s="16">
        <f>IF(OR(F45="",NOT(ISNUMBER(F45))),"",IFERROR(VLOOKUP(F45,'Assessment Scale'!$A$3:$C$13,3,FALSE),""))</f>
        <v/>
      </c>
      <c r="H45" s="15" t="n"/>
    </row>
    <row r="46">
      <c r="A46" s="11" t="inlineStr"/>
      <c r="B46" s="11" t="inlineStr">
        <is>
          <t>Q38</t>
        </is>
      </c>
      <c r="C46" s="12" t="inlineStr">
        <is>
          <t>How well is data quality monitored, reported on, and escalated when thresholds are breached?</t>
        </is>
      </c>
      <c r="D46" s="17" t="inlineStr">
        <is>
          <t>Security</t>
        </is>
      </c>
      <c r="E46" s="14" t="inlineStr">
        <is>
          <t>Scale 0-10</t>
        </is>
      </c>
      <c r="F46" s="15" t="n"/>
      <c r="G46" s="16">
        <f>IF(OR(F46="",NOT(ISNUMBER(F46))),"",IFERROR(VLOOKUP(F46,'Assessment Scale'!$A$3:$C$13,3,FALSE),""))</f>
        <v/>
      </c>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6">
        <f>IF(OR(F47="",NOT(ISNUMBER(F47))),"",IFERROR(VLOOKUP(F47,'Assessment Scale'!$A$3:$C$13,3,FALSE),""))</f>
        <v/>
      </c>
      <c r="H47" s="15" t="n"/>
    </row>
  </sheetData>
  <mergeCells count="7">
    <mergeCell ref="A4:H4"/>
    <mergeCell ref="A2:H2"/>
    <mergeCell ref="A41:H41"/>
    <mergeCell ref="A14:H14"/>
    <mergeCell ref="A1:H1"/>
    <mergeCell ref="A37:H37"/>
    <mergeCell ref="A27:H27"/>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6">
        <f>IF(OR(F5="",NOT(ISNUMBER(F5))),"",IFERROR(VLOOKUP(F5,'Assessment Scale'!$A$3:$C$13,3,FALSE),""))</f>
        <v/>
      </c>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6">
        <f>IF(OR(F6="",NOT(ISNUMBER(F6))),"",IFERROR(VLOOKUP(F6,'Assessment Scale'!$A$3:$C$13,3,FALSE),""))</f>
        <v/>
      </c>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6">
        <f>IF(OR(F7="",NOT(ISNUMBER(F7))),"",IFERROR(VLOOKUP(F7,'Assessment Scale'!$A$3:$C$13,3,FALSE),""))</f>
        <v/>
      </c>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6">
        <f>IF(OR(F8="",NOT(ISNUMBER(F8))),"",IFERROR(VLOOKUP(F8,'Assessment Scale'!$A$3:$C$13,3,FALSE),""))</f>
        <v/>
      </c>
      <c r="H8" s="15" t="n"/>
    </row>
    <row r="9">
      <c r="A9" s="11" t="inlineStr"/>
      <c r="B9" s="11" t="inlineStr">
        <is>
          <t>Q5</t>
        </is>
      </c>
      <c r="C9" s="12" t="inlineStr">
        <is>
          <t>What known security vulnerabilities exist in the current solution, and what is the remediation status?</t>
        </is>
      </c>
      <c r="D9" s="17" t="inlineStr">
        <is>
          <t>Security</t>
        </is>
      </c>
      <c r="E9" s="14" t="inlineStr">
        <is>
          <t>Scale 0-10</t>
        </is>
      </c>
      <c r="F9" s="15" t="n"/>
      <c r="G9" s="16">
        <f>IF(OR(F9="",NOT(ISNUMBER(F9))),"",IFERROR(VLOOKUP(F9,'Assessment Scale'!$A$3:$C$13,3,FALSE),""))</f>
        <v/>
      </c>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6">
        <f>IF(OR(F10="",NOT(ISNUMBER(F10))),"",IFERROR(VLOOKUP(F10,'Assessment Scale'!$A$3:$C$13,3,FALSE),""))</f>
        <v/>
      </c>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6">
        <f>IF(OR(F11="",NOT(ISNUMBER(F11))),"",IFERROR(VLOOKUP(F11,'Assessment Scale'!$A$3:$C$13,3,FALSE),""))</f>
        <v/>
      </c>
      <c r="H11" s="15" t="n"/>
    </row>
    <row r="12">
      <c r="A12" s="11" t="inlineStr"/>
      <c r="B12" s="11" t="inlineStr">
        <is>
          <t>Q8</t>
        </is>
      </c>
      <c r="C12" s="12" t="inlineStr">
        <is>
          <t>Are all upstream and downstream application dependencies mapped and current?</t>
        </is>
      </c>
      <c r="D12" s="13" t="n"/>
      <c r="E12" s="14" t="inlineStr">
        <is>
          <t>Scale 0-10</t>
        </is>
      </c>
      <c r="F12" s="15" t="n"/>
      <c r="G12" s="16">
        <f>IF(OR(F12="",NOT(ISNUMBER(F12))),"",IFERROR(VLOOKUP(F12,'Assessment Scale'!$A$3:$C$13,3,FALSE),""))</f>
        <v/>
      </c>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6">
        <f>IF(OR(F13="",NOT(ISNUMBER(F13))),"",IFERROR(VLOOKUP(F13,'Assessment Scale'!$A$3:$C$13,3,FALSE),""))</f>
        <v/>
      </c>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6">
        <f>IF(OR(F15="",NOT(ISNUMBER(F15))),"",IFERROR(VLOOKUP(F15,'Assessment Scale'!$A$3:$C$13,3,FALSE),""))</f>
        <v/>
      </c>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6">
        <f>IF(OR(F16="",NOT(ISNUMBER(F16))),"",IFERROR(VLOOKUP(F16,'Assessment Scale'!$A$3:$C$13,3,FALSE),""))</f>
        <v/>
      </c>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6">
        <f>IF(OR(F17="",NOT(ISNUMBER(F17))),"",IFERROR(VLOOKUP(F17,'Assessment Scale'!$A$3:$C$13,3,FALSE),""))</f>
        <v/>
      </c>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6">
        <f>IF(OR(F18="",NOT(ISNUMBER(F18))),"",IFERROR(VLOOKUP(F18,'Assessment Scale'!$A$3:$C$13,3,FALSE),""))</f>
        <v/>
      </c>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6">
        <f>IF(OR(F19="",NOT(ISNUMBER(F19))),"",IFERROR(VLOOKUP(F19,'Assessment Scale'!$A$3:$C$13,3,FALSE),""))</f>
        <v/>
      </c>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6">
        <f>IF(OR(F20="",NOT(ISNUMBER(F20))),"",IFERROR(VLOOKUP(F20,'Assessment Scale'!$A$3:$C$13,3,FALSE),""))</f>
        <v/>
      </c>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6">
        <f>IF(OR(F21="",NOT(ISNUMBER(F21))),"",IFERROR(VLOOKUP(F21,'Assessment Scale'!$A$3:$C$13,3,FALSE),""))</f>
        <v/>
      </c>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6">
        <f>IF(OR(F22="",NOT(ISNUMBER(F22))),"",IFERROR(VLOOKUP(F22,'Assessment Scale'!$A$3:$C$13,3,FALSE),""))</f>
        <v/>
      </c>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6">
        <f>IF(OR(F23="",NOT(ISNUMBER(F23))),"",IFERROR(VLOOKUP(F23,'Assessment Scale'!$A$3:$C$13,3,FALSE),""))</f>
        <v/>
      </c>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6">
        <f>IF(OR(F24="",NOT(ISNUMBER(F24))),"",IFERROR(VLOOKUP(F24,'Assessment Scale'!$A$3:$C$13,3,FALSE),""))</f>
        <v/>
      </c>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7" t="inlineStr">
        <is>
          <t>Security</t>
        </is>
      </c>
      <c r="E26" s="14" t="inlineStr">
        <is>
          <t>Scale 0-10</t>
        </is>
      </c>
      <c r="F26" s="15" t="n"/>
      <c r="G26" s="16">
        <f>IF(OR(F26="",NOT(ISNUMBER(F26))),"",IFERROR(VLOOKUP(F26,'Assessment Scale'!$A$3:$C$13,3,FALSE),""))</f>
        <v/>
      </c>
      <c r="H26" s="15" t="n"/>
    </row>
    <row r="27">
      <c r="A27" s="11" t="inlineStr"/>
      <c r="B27" s="11" t="inlineStr">
        <is>
          <t>Q21</t>
        </is>
      </c>
      <c r="C27" s="12" t="inlineStr">
        <is>
          <t>Is test coverage defined, measured, and enforced — including unit, integration, regression, performance, and security testing?</t>
        </is>
      </c>
      <c r="D27" s="17" t="inlineStr">
        <is>
          <t>Security</t>
        </is>
      </c>
      <c r="E27" s="14" t="inlineStr">
        <is>
          <t>Scale 0-10</t>
        </is>
      </c>
      <c r="F27" s="15" t="n"/>
      <c r="G27" s="16">
        <f>IF(OR(F27="",NOT(ISNUMBER(F27))),"",IFERROR(VLOOKUP(F27,'Assessment Scale'!$A$3:$C$13,3,FALSE),""))</f>
        <v/>
      </c>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6">
        <f>IF(OR(F28="",NOT(ISNUMBER(F28))),"",IFERROR(VLOOKUP(F28,'Assessment Scale'!$A$3:$C$13,3,FALSE),""))</f>
        <v/>
      </c>
      <c r="H28" s="15" t="n"/>
    </row>
    <row r="29">
      <c r="A29" s="11" t="inlineStr"/>
      <c r="B29" s="11" t="inlineStr">
        <is>
          <t>Q23</t>
        </is>
      </c>
      <c r="C29" s="12" t="inlineStr">
        <is>
          <t>Are accessibility standards (WCAG 2.1 AA or equivalent) embedded in the development and QA process?</t>
        </is>
      </c>
      <c r="D29" s="17" t="inlineStr">
        <is>
          <t>Accessibility</t>
        </is>
      </c>
      <c r="E29" s="18" t="inlineStr">
        <is>
          <t>Yes / No</t>
        </is>
      </c>
      <c r="F29" s="15" t="n"/>
      <c r="G29" s="16">
        <f>IF(OR(F29="",NOT(ISNUMBER(F29))),"",IFERROR(VLOOKUP(F29,'Assessment Scale'!$A$3:$C$13,3,FALSE),""))</f>
        <v/>
      </c>
      <c r="H29" s="15" t="n"/>
    </row>
    <row r="30">
      <c r="A30" s="11" t="inlineStr"/>
      <c r="B30" s="11" t="inlineStr">
        <is>
          <t>Q24</t>
        </is>
      </c>
      <c r="C30" s="12" t="inlineStr">
        <is>
          <t>Is there an algorithmic impact assessment (AIA) process in place for any AI/ML components in the application?</t>
        </is>
      </c>
      <c r="D30" s="13" t="n"/>
      <c r="E30" s="18" t="inlineStr">
        <is>
          <t>Yes / No</t>
        </is>
      </c>
      <c r="F30" s="15" t="n"/>
      <c r="G30" s="16">
        <f>IF(OR(F30="",NOT(ISNUMBER(F30))),"",IFERROR(VLOOKUP(F30,'Assessment Scale'!$A$3:$C$13,3,FALSE),""))</f>
        <v/>
      </c>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6">
        <f>IF(OR(F31="",NOT(ISNUMBER(F31))),"",IFERROR(VLOOKUP(F31,'Assessment Scale'!$A$3:$C$13,3,FALSE),""))</f>
        <v/>
      </c>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6">
        <f>IF(OR(F32="",NOT(ISNUMBER(F32))),"",IFERROR(VLOOKUP(F32,'Assessment Scale'!$A$3:$C$13,3,FALSE),""))</f>
        <v/>
      </c>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6">
        <f>IF(OR(F33="",NOT(ISNUMBER(F33))),"",IFERROR(VLOOKUP(F33,'Assessment Scale'!$A$3:$C$13,3,FALSE),""))</f>
        <v/>
      </c>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7" t="inlineStr">
        <is>
          <t>Security, Privacy</t>
        </is>
      </c>
      <c r="E35" s="14" t="inlineStr">
        <is>
          <t>Scale 0-10</t>
        </is>
      </c>
      <c r="F35" s="15" t="n"/>
      <c r="G35" s="16">
        <f>IF(OR(F35="",NOT(ISNUMBER(F35))),"",IFERROR(VLOOKUP(F35,'Assessment Scale'!$A$3:$C$13,3,FALSE),""))</f>
        <v/>
      </c>
      <c r="H35" s="15" t="n"/>
    </row>
    <row r="36">
      <c r="A36" s="11" t="inlineStr"/>
      <c r="B36" s="11" t="inlineStr">
        <is>
          <t>Q29</t>
        </is>
      </c>
      <c r="C36" s="12" t="inlineStr">
        <is>
          <t>Were enterprise contracts and procurement pathways (GC-wide standing offers, task authorizations) explored before custom sourcing?</t>
        </is>
      </c>
      <c r="D36" s="17" t="inlineStr">
        <is>
          <t>Security</t>
        </is>
      </c>
      <c r="E36" s="14" t="inlineStr">
        <is>
          <t>Scale 0-10</t>
        </is>
      </c>
      <c r="F36" s="15" t="n"/>
      <c r="G36" s="16">
        <f>IF(OR(F36="",NOT(ISNUMBER(F36))),"",IFERROR(VLOOKUP(F36,'Assessment Scale'!$A$3:$C$13,3,FALSE),""))</f>
        <v/>
      </c>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6">
        <f>IF(OR(F37="",NOT(ISNUMBER(F37))),"",IFERROR(VLOOKUP(F37,'Assessment Scale'!$A$3:$C$13,3,FALSE),""))</f>
        <v/>
      </c>
      <c r="H37" s="15" t="n"/>
    </row>
    <row r="38">
      <c r="A38" s="11" t="inlineStr"/>
      <c r="B38" s="11" t="inlineStr">
        <is>
          <t>Q31</t>
        </is>
      </c>
      <c r="C38" s="12" t="inlineStr">
        <is>
          <t>Is a Total Cost of Ownership (TCO) model available that includes build, operate, maintain, licensing, and exit costs?</t>
        </is>
      </c>
      <c r="D38" s="17" t="inlineStr">
        <is>
          <t>Financial</t>
        </is>
      </c>
      <c r="E38" s="14" t="inlineStr">
        <is>
          <t>Scale 0-10</t>
        </is>
      </c>
      <c r="F38" s="15" t="n"/>
      <c r="G38" s="16">
        <f>IF(OR(F38="",NOT(ISNUMBER(F38))),"",IFERROR(VLOOKUP(F38,'Assessment Scale'!$A$3:$C$13,3,FALSE),""))</f>
        <v/>
      </c>
      <c r="H38" s="15" t="n"/>
    </row>
    <row r="39">
      <c r="A39" s="11" t="inlineStr"/>
      <c r="B39" s="11" t="inlineStr">
        <is>
          <t>Q32</t>
        </is>
      </c>
      <c r="C39" s="12" t="inlineStr">
        <is>
          <t>How well are digital sovereignty considerations addressed — are GC data and systems protected from foreign jurisdiction risk?</t>
        </is>
      </c>
      <c r="D39" s="17" t="inlineStr">
        <is>
          <t>Security</t>
        </is>
      </c>
      <c r="E39" s="14" t="inlineStr">
        <is>
          <t>Scale 0-10</t>
        </is>
      </c>
      <c r="F39" s="15" t="n"/>
      <c r="G39" s="16">
        <f>IF(OR(F39="",NOT(ISNUMBER(F39))),"",IFERROR(VLOOKUP(F39,'Assessment Scale'!$A$3:$C$13,3,FALSE),""))</f>
        <v/>
      </c>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6">
        <f>IF(OR(F40="",NOT(ISNUMBER(F40))),"",IFERROR(VLOOKUP(F40,'Assessment Scale'!$A$3:$C$13,3,FALSE),""))</f>
        <v/>
      </c>
      <c r="H40" s="15" t="n"/>
    </row>
    <row r="41">
      <c r="A41" s="11" t="inlineStr"/>
      <c r="B41" s="11" t="inlineStr">
        <is>
          <t>Q34</t>
        </is>
      </c>
      <c r="C41" s="12" t="inlineStr">
        <is>
          <t>How well does the solution avoid unnecessary duplication with existing GC capabilities and investments?</t>
        </is>
      </c>
      <c r="D41" s="17" t="inlineStr">
        <is>
          <t>Financial</t>
        </is>
      </c>
      <c r="E41" s="14" t="inlineStr">
        <is>
          <t>Scale 0-10</t>
        </is>
      </c>
      <c r="F41" s="15" t="n"/>
      <c r="G41" s="16">
        <f>IF(OR(F41="",NOT(ISNUMBER(F41))),"",IFERROR(VLOOKUP(F41,'Assessment Scale'!$A$3:$C$13,3,FALSE),""))</f>
        <v/>
      </c>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6">
        <f>IF(OR(F42="",NOT(ISNUMBER(F42))),"",IFERROR(VLOOKUP(F42,'Assessment Scale'!$A$3:$C$13,3,FALSE),""))</f>
        <v/>
      </c>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6">
        <f>IF(OR(F43="",NOT(ISNUMBER(F43))),"",IFERROR(VLOOKUP(F43,'Assessment Scale'!$A$3:$C$13,3,FALSE),""))</f>
        <v/>
      </c>
      <c r="H43" s="15" t="n"/>
    </row>
    <row r="44">
      <c r="A44" s="11" t="inlineStr"/>
      <c r="B44" s="11" t="inlineStr">
        <is>
          <t>Q37</t>
        </is>
      </c>
      <c r="C44" s="12" t="inlineStr">
        <is>
          <t>How well are supply chain security risks addressed in the sourcing and integration of third-party components?</t>
        </is>
      </c>
      <c r="D44" s="17" t="inlineStr">
        <is>
          <t>Security</t>
        </is>
      </c>
      <c r="E44" s="14" t="inlineStr">
        <is>
          <t>Scale 0-10</t>
        </is>
      </c>
      <c r="F44" s="15" t="n"/>
      <c r="G44" s="16">
        <f>IF(OR(F44="",NOT(ISNUMBER(F44))),"",IFERROR(VLOOKUP(F44,'Assessment Scale'!$A$3:$C$13,3,FALSE),""))</f>
        <v/>
      </c>
      <c r="H44" s="15" t="n"/>
    </row>
  </sheetData>
  <mergeCells count="6">
    <mergeCell ref="A4:H4"/>
    <mergeCell ref="A25:H25"/>
    <mergeCell ref="A2:H2"/>
    <mergeCell ref="A14:H14"/>
    <mergeCell ref="A1:H1"/>
    <mergeCell ref="A34:H34"/>
  </mergeCells>
  <dataValidations count="3">
    <dataValidation sqref="D4:D44"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1" allowBlank="1" promptTitle="Scale or yes-or-no?" prompt="How this question is answered. Ours, and provisional: change it if it reads wrong." type="list">
      <formula1>"Scale 0-10,Yes / No"</formula1>
    </dataValidation>
    <dataValidation sqref="F4:F44"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6">
        <f>IF(OR(F5="",NOT(ISNUMBER(F5))),"",IFERROR(VLOOKUP(F5,'Assessment Scale'!$A$3:$C$13,3,FALSE),""))</f>
        <v/>
      </c>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6">
        <f>IF(OR(F6="",NOT(ISNUMBER(F6))),"",IFERROR(VLOOKUP(F6,'Assessment Scale'!$A$3:$C$13,3,FALSE),""))</f>
        <v/>
      </c>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6">
        <f>IF(OR(F7="",NOT(ISNUMBER(F7))),"",IFERROR(VLOOKUP(F7,'Assessment Scale'!$A$3:$C$13,3,FALSE),""))</f>
        <v/>
      </c>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6">
        <f>IF(OR(F8="",NOT(ISNUMBER(F8))),"",IFERROR(VLOOKUP(F8,'Assessment Scale'!$A$3:$C$13,3,FALSE),""))</f>
        <v/>
      </c>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6">
        <f>IF(OR(F9="",NOT(ISNUMBER(F9))),"",IFERROR(VLOOKUP(F9,'Assessment Scale'!$A$3:$C$13,3,FALSE),""))</f>
        <v/>
      </c>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6">
        <f>IF(OR(F10="",NOT(ISNUMBER(F10))),"",IFERROR(VLOOKUP(F10,'Assessment Scale'!$A$3:$C$13,3,FALSE),""))</f>
        <v/>
      </c>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6">
        <f>IF(OR(F11="",NOT(ISNUMBER(F11))),"",IFERROR(VLOOKUP(F11,'Assessment Scale'!$A$3:$C$13,3,FALSE),""))</f>
        <v/>
      </c>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6">
        <f>IF(OR(F13="",NOT(ISNUMBER(F13))),"",IFERROR(VLOOKUP(F13,'Assessment Scale'!$A$3:$C$13,3,FALSE),""))</f>
        <v/>
      </c>
      <c r="H13" s="15" t="n"/>
    </row>
    <row r="14">
      <c r="A14" s="11" t="inlineStr"/>
      <c r="B14" s="11" t="inlineStr">
        <is>
          <t>Q9</t>
        </is>
      </c>
      <c r="C14" s="12" t="inlineStr">
        <is>
          <t>Is the decision between shared and dedicated hardware documented with supporting rationale for cost, isolation, and performance?</t>
        </is>
      </c>
      <c r="D14" s="17" t="inlineStr">
        <is>
          <t>Financial</t>
        </is>
      </c>
      <c r="E14" s="14" t="inlineStr">
        <is>
          <t>Scale 0-10</t>
        </is>
      </c>
      <c r="F14" s="15" t="n"/>
      <c r="G14" s="16">
        <f>IF(OR(F14="",NOT(ISNUMBER(F14))),"",IFERROR(VLOOKUP(F14,'Assessment Scale'!$A$3:$C$13,3,FALSE),""))</f>
        <v/>
      </c>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6">
        <f>IF(OR(F15="",NOT(ISNUMBER(F15))),"",IFERROR(VLOOKUP(F15,'Assessment Scale'!$A$3:$C$13,3,FALSE),""))</f>
        <v/>
      </c>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6">
        <f>IF(OR(F16="",NOT(ISNUMBER(F16))),"",IFERROR(VLOOKUP(F16,'Assessment Scale'!$A$3:$C$13,3,FALSE),""))</f>
        <v/>
      </c>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6">
        <f>IF(OR(F17="",NOT(ISNUMBER(F17))),"",IFERROR(VLOOKUP(F17,'Assessment Scale'!$A$3:$C$13,3,FALSE),""))</f>
        <v/>
      </c>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6">
        <f>IF(OR(F18="",NOT(ISNUMBER(F18))),"",IFERROR(VLOOKUP(F18,'Assessment Scale'!$A$3:$C$13,3,FALSE),""))</f>
        <v/>
      </c>
      <c r="H18" s="15" t="n"/>
    </row>
    <row r="19">
      <c r="A19" s="11" t="inlineStr"/>
      <c r="B19" s="11" t="inlineStr">
        <is>
          <t>Q14</t>
        </is>
      </c>
      <c r="C19" s="12" t="inlineStr">
        <is>
          <t>Is GC AI Compute (dedicated GC-owned/controlled GPU infrastructure) considered and evaluated as a first option for AI workloads?</t>
        </is>
      </c>
      <c r="D19" s="13" t="n"/>
      <c r="E19" s="18" t="inlineStr">
        <is>
          <t>Yes / No</t>
        </is>
      </c>
      <c r="F19" s="15" t="n"/>
      <c r="G19" s="16">
        <f>IF(OR(F19="",NOT(ISNUMBER(F19))),"",IFERROR(VLOOKUP(F19,'Assessment Scale'!$A$3:$C$13,3,FALSE),""))</f>
        <v/>
      </c>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6">
        <f>IF(OR(F20="",NOT(ISNUMBER(F20))),"",IFERROR(VLOOKUP(F20,'Assessment Scale'!$A$3:$C$13,3,FALSE),""))</f>
        <v/>
      </c>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6">
        <f>IF(OR(F21="",NOT(ISNUMBER(F21))),"",IFERROR(VLOOKUP(F21,'Assessment Scale'!$A$3:$C$13,3,FALSE),""))</f>
        <v/>
      </c>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6">
        <f>IF(OR(F22="",NOT(ISNUMBER(F22))),"",IFERROR(VLOOKUP(F22,'Assessment Scale'!$A$3:$C$13,3,FALSE),""))</f>
        <v/>
      </c>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6">
        <f>IF(OR(F24="",NOT(ISNUMBER(F24))),"",IFERROR(VLOOKUP(F24,'Assessment Scale'!$A$3:$C$13,3,FALSE),""))</f>
        <v/>
      </c>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6">
        <f>IF(OR(F25="",NOT(ISNUMBER(F25))),"",IFERROR(VLOOKUP(F25,'Assessment Scale'!$A$3:$C$13,3,FALSE),""))</f>
        <v/>
      </c>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6">
        <f>IF(OR(F26="",NOT(ISNUMBER(F26))),"",IFERROR(VLOOKUP(F26,'Assessment Scale'!$A$3:$C$13,3,FALSE),""))</f>
        <v/>
      </c>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6">
        <f>IF(OR(F27="",NOT(ISNUMBER(F27))),"",IFERROR(VLOOKUP(F27,'Assessment Scale'!$A$3:$C$13,3,FALSE),""))</f>
        <v/>
      </c>
      <c r="H27" s="15" t="n"/>
    </row>
    <row r="28">
      <c r="A28" s="11" t="inlineStr"/>
      <c r="B28" s="11" t="inlineStr">
        <is>
          <t>Q22</t>
        </is>
      </c>
      <c r="C28" s="12" t="inlineStr">
        <is>
          <t>Is there a documented plan and roadmap for quantum and post-quantum cryptography readiness?</t>
        </is>
      </c>
      <c r="D28" s="17" t="inlineStr">
        <is>
          <t>Security</t>
        </is>
      </c>
      <c r="E28" s="14" t="inlineStr">
        <is>
          <t>Scale 0-10</t>
        </is>
      </c>
      <c r="F28" s="15" t="n"/>
      <c r="G28" s="16">
        <f>IF(OR(F28="",NOT(ISNUMBER(F28))),"",IFERROR(VLOOKUP(F28,'Assessment Scale'!$A$3:$C$13,3,FALSE),""))</f>
        <v/>
      </c>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6">
        <f>IF(OR(F29="",NOT(ISNUMBER(F29))),"",IFERROR(VLOOKUP(F29,'Assessment Scale'!$A$3:$C$13,3,FALSE),""))</f>
        <v/>
      </c>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6">
        <f>IF(OR(F30="",NOT(ISNUMBER(F30))),"",IFERROR(VLOOKUP(F30,'Assessment Scale'!$A$3:$C$13,3,FALSE),""))</f>
        <v/>
      </c>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6">
        <f>IF(OR(F32="",NOT(ISNUMBER(F32))),"",IFERROR(VLOOKUP(F32,'Assessment Scale'!$A$3:$C$13,3,FALSE),""))</f>
        <v/>
      </c>
      <c r="H32" s="15" t="n"/>
    </row>
    <row r="33">
      <c r="A33" s="11" t="inlineStr"/>
      <c r="B33" s="11" t="inlineStr">
        <is>
          <t>Q26</t>
        </is>
      </c>
      <c r="C33" s="12" t="inlineStr">
        <is>
          <t>Is the solution's data sovereignty posture clearly documented, including data residency and foreign access risk mitigation?</t>
        </is>
      </c>
      <c r="D33" s="17" t="inlineStr">
        <is>
          <t>Security</t>
        </is>
      </c>
      <c r="E33" s="14" t="inlineStr">
        <is>
          <t>Scale 0-10</t>
        </is>
      </c>
      <c r="F33" s="15" t="n"/>
      <c r="G33" s="16">
        <f>IF(OR(F33="",NOT(ISNUMBER(F33))),"",IFERROR(VLOOKUP(F33,'Assessment Scale'!$A$3:$C$13,3,FALSE),""))</f>
        <v/>
      </c>
      <c r="H33" s="15" t="n"/>
    </row>
    <row r="34">
      <c r="A34" s="11" t="inlineStr"/>
      <c r="B34" s="11" t="inlineStr">
        <is>
          <t>Q27</t>
        </is>
      </c>
      <c r="C34" s="12" t="inlineStr">
        <is>
          <t>How mature is the zero-trust security architecture — is authentication, authorization, and segmentation enforced throughout?</t>
        </is>
      </c>
      <c r="D34" s="17" t="inlineStr">
        <is>
          <t>Security</t>
        </is>
      </c>
      <c r="E34" s="14" t="inlineStr">
        <is>
          <t>Scale 0-10</t>
        </is>
      </c>
      <c r="F34" s="15" t="n"/>
      <c r="G34" s="16">
        <f>IF(OR(F34="",NOT(ISNUMBER(F34))),"",IFERROR(VLOOKUP(F34,'Assessment Scale'!$A$3:$C$13,3,FALSE),""))</f>
        <v/>
      </c>
      <c r="H34" s="15" t="n"/>
    </row>
    <row r="35">
      <c r="A35" s="11" t="inlineStr"/>
      <c r="B35" s="11" t="inlineStr">
        <is>
          <t>Q28</t>
        </is>
      </c>
      <c r="C35" s="12" t="inlineStr">
        <is>
          <t>Is encryption applied appropriately at rest, in transit, and in processing, using GC-approved cryptographic standards?</t>
        </is>
      </c>
      <c r="D35" s="17" t="inlineStr">
        <is>
          <t>Security</t>
        </is>
      </c>
      <c r="E35" s="14" t="inlineStr">
        <is>
          <t>Scale 0-10</t>
        </is>
      </c>
      <c r="F35" s="15" t="n"/>
      <c r="G35" s="16">
        <f>IF(OR(F35="",NOT(ISNUMBER(F35))),"",IFERROR(VLOOKUP(F35,'Assessment Scale'!$A$3:$C$13,3,FALSE),""))</f>
        <v/>
      </c>
      <c r="H35" s="15" t="n"/>
    </row>
    <row r="36">
      <c r="A36" s="11" t="inlineStr"/>
      <c r="B36" s="11" t="inlineStr">
        <is>
          <t>Q29</t>
        </is>
      </c>
      <c r="C36" s="12" t="inlineStr">
        <is>
          <t>Has a Threat and Risk Assessment (TRA) or Security Assessment and Authorization (SA&amp;A) been completed and reflected in design?</t>
        </is>
      </c>
      <c r="D36" s="17" t="inlineStr">
        <is>
          <t>Security</t>
        </is>
      </c>
      <c r="E36" s="18" t="inlineStr">
        <is>
          <t>Yes / No</t>
        </is>
      </c>
      <c r="F36" s="15" t="n"/>
      <c r="G36" s="16">
        <f>IF(OR(F36="",NOT(ISNUMBER(F36))),"",IFERROR(VLOOKUP(F36,'Assessment Scale'!$A$3:$C$13,3,FALSE),""))</f>
        <v/>
      </c>
      <c r="H36" s="15" t="n"/>
    </row>
    <row r="37">
      <c r="A37" s="11" t="inlineStr"/>
      <c r="B37" s="11" t="inlineStr">
        <is>
          <t>Q30</t>
        </is>
      </c>
      <c r="C37" s="12" t="inlineStr">
        <is>
          <t>Are security controls validated through automated security testing, vulnerability scanning, and penetration testing?</t>
        </is>
      </c>
      <c r="D37" s="17" t="inlineStr">
        <is>
          <t>Security</t>
        </is>
      </c>
      <c r="E37" s="14" t="inlineStr">
        <is>
          <t>Scale 0-10</t>
        </is>
      </c>
      <c r="F37" s="15" t="n"/>
      <c r="G37" s="16">
        <f>IF(OR(F37="",NOT(ISNUMBER(F37))),"",IFERROR(VLOOKUP(F37,'Assessment Scale'!$A$3:$C$13,3,FALSE),""))</f>
        <v/>
      </c>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6">
        <f>IF(OR(F38="",NOT(ISNUMBER(F38))),"",IFERROR(VLOOKUP(F38,'Assessment Scale'!$A$3:$C$13,3,FALSE),""))</f>
        <v/>
      </c>
      <c r="H38" s="15" t="n"/>
    </row>
    <row r="39">
      <c r="A39" s="11" t="inlineStr"/>
      <c r="B39" s="11" t="inlineStr">
        <is>
          <t>Q32</t>
        </is>
      </c>
      <c r="C39" s="12" t="inlineStr">
        <is>
          <t>Are GC Cloud Guardrails and security baseline configurations implemented and continuously validated?</t>
        </is>
      </c>
      <c r="D39" s="17" t="inlineStr">
        <is>
          <t>Security</t>
        </is>
      </c>
      <c r="E39" s="14" t="inlineStr">
        <is>
          <t>Scale 0-10</t>
        </is>
      </c>
      <c r="F39" s="15" t="n"/>
      <c r="G39" s="16">
        <f>IF(OR(F39="",NOT(ISNUMBER(F39))),"",IFERROR(VLOOKUP(F39,'Assessment Scale'!$A$3:$C$13,3,FALSE),""))</f>
        <v/>
      </c>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6">
        <f>IF(OR(F41="",NOT(ISNUMBER(F41))),"",IFERROR(VLOOKUP(F41,'Assessment Scale'!$A$3:$C$13,3,FALSE),""))</f>
        <v/>
      </c>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6">
        <f>IF(OR(F42="",NOT(ISNUMBER(F42))),"",IFERROR(VLOOKUP(F42,'Assessment Scale'!$A$3:$C$13,3,FALSE),""))</f>
        <v/>
      </c>
      <c r="H42" s="15" t="n"/>
    </row>
    <row r="43">
      <c r="A43" s="11" t="inlineStr"/>
      <c r="B43" s="11" t="inlineStr">
        <is>
          <t>Q35</t>
        </is>
      </c>
      <c r="C43" s="12" t="inlineStr">
        <is>
          <t>How mature is the FinOps practice — are cloud and infrastructure costs tracked, attributed, optimized, and reported?</t>
        </is>
      </c>
      <c r="D43" s="17" t="inlineStr">
        <is>
          <t>Financial</t>
        </is>
      </c>
      <c r="E43" s="14" t="inlineStr">
        <is>
          <t>Scale 0-10</t>
        </is>
      </c>
      <c r="F43" s="15" t="n"/>
      <c r="G43" s="16">
        <f>IF(OR(F43="",NOT(ISNUMBER(F43))),"",IFERROR(VLOOKUP(F43,'Assessment Scale'!$A$3:$C$13,3,FALSE),""))</f>
        <v/>
      </c>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6">
        <f>IF(OR(F44="",NOT(ISNUMBER(F44))),"",IFERROR(VLOOKUP(F44,'Assessment Scale'!$A$3:$C$13,3,FALSE),""))</f>
        <v/>
      </c>
      <c r="H44" s="15" t="n"/>
    </row>
    <row r="45">
      <c r="A45" s="11" t="inlineStr"/>
      <c r="B45" s="11" t="inlineStr">
        <is>
          <t>Q37</t>
        </is>
      </c>
      <c r="C45" s="12" t="inlineStr">
        <is>
          <t>Are resource governance policies enforced — including tagging, cost allocation, and access to shared infrastructure?</t>
        </is>
      </c>
      <c r="D45" s="17" t="inlineStr">
        <is>
          <t>Financial</t>
        </is>
      </c>
      <c r="E45" s="14" t="inlineStr">
        <is>
          <t>Scale 0-10</t>
        </is>
      </c>
      <c r="F45" s="15" t="n"/>
      <c r="G45" s="16">
        <f>IF(OR(F45="",NOT(ISNUMBER(F45))),"",IFERROR(VLOOKUP(F45,'Assessment Scale'!$A$3:$C$13,3,FALSE),""))</f>
        <v/>
      </c>
      <c r="H45" s="15" t="n"/>
    </row>
    <row r="46">
      <c r="A46" s="11" t="inlineStr"/>
      <c r="B46" s="11" t="inlineStr">
        <is>
          <t>Q38</t>
        </is>
      </c>
      <c r="C46" s="12" t="inlineStr">
        <is>
          <t>Is there a continuous business need (CBN) process to evaluate whether infrastructure investment remains justified?</t>
        </is>
      </c>
      <c r="D46" s="17" t="inlineStr">
        <is>
          <t>Financial</t>
        </is>
      </c>
      <c r="E46" s="18" t="inlineStr">
        <is>
          <t>Yes / No</t>
        </is>
      </c>
      <c r="F46" s="15" t="n"/>
      <c r="G46" s="16">
        <f>IF(OR(F46="",NOT(ISNUMBER(F46))),"",IFERROR(VLOOKUP(F46,'Assessment Scale'!$A$3:$C$13,3,FALSE),""))</f>
        <v/>
      </c>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6">
        <f>IF(OR(F47="",NOT(ISNUMBER(F47))),"",IFERROR(VLOOKUP(F47,'Assessment Scale'!$A$3:$C$13,3,FALSE),""))</f>
        <v/>
      </c>
      <c r="H47" s="15" t="n"/>
    </row>
  </sheetData>
  <mergeCells count="7">
    <mergeCell ref="A12:H12"/>
    <mergeCell ref="A4:H4"/>
    <mergeCell ref="A2:H2"/>
    <mergeCell ref="A1:H1"/>
    <mergeCell ref="A23:H23"/>
    <mergeCell ref="A31:H31"/>
    <mergeCell ref="A40:H40"/>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9" t="inlineStr">
        <is>
          <t>Score</t>
        </is>
      </c>
      <c r="B2" s="19" t="inlineStr">
        <is>
          <t>Colour</t>
        </is>
      </c>
      <c r="C2" s="19" t="inlineStr">
        <is>
          <t>Label</t>
        </is>
      </c>
      <c r="D2" s="19" t="inlineStr">
        <is>
          <t>Description</t>
        </is>
      </c>
    </row>
    <row r="3">
      <c r="A3" s="20" t="n">
        <v>0</v>
      </c>
      <c r="B3" s="20" t="inlineStr">
        <is>
          <t>Black</t>
        </is>
      </c>
      <c r="C3" s="20" t="inlineStr">
        <is>
          <t>Absent</t>
        </is>
      </c>
      <c r="D3" s="12" t="inlineStr">
        <is>
          <t>No formal architecture. Capabilities are missing, and manual workarounds are the only way to achieve business outcomes.</t>
        </is>
      </c>
    </row>
    <row r="4">
      <c r="A4" s="21" t="n">
        <v>1</v>
      </c>
      <c r="B4" s="21" t="inlineStr">
        <is>
          <t>Dark Red</t>
        </is>
      </c>
      <c r="C4" s="21" t="inlineStr">
        <is>
          <t>Critical Gaps</t>
        </is>
      </c>
      <c r="D4" s="12" t="inlineStr">
        <is>
          <t>A skeleton exists, but core capabilities (like security or data integrity) are missing. High risk of systemic failure.</t>
        </is>
      </c>
    </row>
    <row r="5">
      <c r="A5" s="22" t="n">
        <v>2</v>
      </c>
      <c r="B5" s="22" t="inlineStr">
        <is>
          <t>Red</t>
        </is>
      </c>
      <c r="C5" s="22" t="inlineStr">
        <is>
          <t>Fragmented</t>
        </is>
      </c>
      <c r="D5" s="12" t="inlineStr">
        <is>
          <t>Capabilities exist in "silos." They are inconsistent, undocumented, and require constant manual intervention to stay synchronized.</t>
        </is>
      </c>
    </row>
    <row r="6">
      <c r="A6" s="23" t="n">
        <v>3</v>
      </c>
      <c r="B6" s="23" t="inlineStr">
        <is>
          <t>Orange</t>
        </is>
      </c>
      <c r="C6" s="23" t="inlineStr">
        <is>
          <t>Emergent</t>
        </is>
      </c>
      <c r="D6" s="12" t="inlineStr">
        <is>
          <t>Core capabilities are present but brittle. The architecture meets the "happy path" but fails under stress or edge cases.</t>
        </is>
      </c>
    </row>
    <row r="7">
      <c r="A7" s="24" t="n">
        <v>4</v>
      </c>
      <c r="B7" s="24" t="inlineStr">
        <is>
          <t>Orange-Yellow</t>
        </is>
      </c>
      <c r="C7" s="24" t="inlineStr">
        <is>
          <t>Defined</t>
        </is>
      </c>
      <c r="D7" s="12" t="inlineStr">
        <is>
          <t>The architecture meets basic functional requirements. Documentation exists, but Quality Attributes (scalability, maintainability) are an afterthought.</t>
        </is>
      </c>
    </row>
    <row r="8">
      <c r="A8" s="25" t="n">
        <v>5</v>
      </c>
      <c r="B8" s="25" t="inlineStr">
        <is>
          <t>Yellow</t>
        </is>
      </c>
      <c r="C8" s="25" t="inlineStr">
        <is>
          <t>Integrated</t>
        </is>
      </c>
      <c r="D8" s="12" t="inlineStr">
        <is>
          <t>This is the Baseline. All desired capabilities are present and connected. The system is stable and performs as expected under normal conditions.</t>
        </is>
      </c>
    </row>
    <row r="9">
      <c r="A9" s="26" t="n">
        <v>6</v>
      </c>
      <c r="B9" s="26" t="inlineStr">
        <is>
          <t>Yellow-Green</t>
        </is>
      </c>
      <c r="C9" s="26" t="inlineStr">
        <is>
          <t>Managed</t>
        </is>
      </c>
      <c r="D9" s="12" t="inlineStr">
        <is>
          <t>Capabilities are monitored and measured. The architecture can handle predictable growth and has basic fault tolerance.</t>
        </is>
      </c>
    </row>
    <row r="10">
      <c r="A10" s="27" t="n">
        <v>7</v>
      </c>
      <c r="B10" s="27" t="inlineStr">
        <is>
          <t>Green</t>
        </is>
      </c>
      <c r="C10" s="27" t="inlineStr">
        <is>
          <t>Scalable &amp; Secure</t>
        </is>
      </c>
      <c r="D10" s="12" t="inlineStr">
        <is>
          <t>The architecture is "hardened." It handles bursts in demand effortlessly and has proactive security measures built into the design.</t>
        </is>
      </c>
    </row>
    <row r="11">
      <c r="A11" s="28" t="n">
        <v>8</v>
      </c>
      <c r="B11" s="28" t="inlineStr">
        <is>
          <t>Dark Green</t>
        </is>
      </c>
      <c r="C11" s="28" t="inlineStr">
        <is>
          <t>Agile/Extensible</t>
        </is>
      </c>
      <c r="D11" s="12" t="inlineStr">
        <is>
          <t>The architecture is modular. Adding a new desired capability does not require a rewrite; the system is designed to be plugged into and extended.</t>
        </is>
      </c>
    </row>
    <row r="12">
      <c r="A12" s="29" t="n">
        <v>9</v>
      </c>
      <c r="B12" s="29" t="inlineStr">
        <is>
          <t>Blue</t>
        </is>
      </c>
      <c r="C12" s="29" t="inlineStr">
        <is>
          <t>Predictive</t>
        </is>
      </c>
      <c r="D12" s="12" t="inlineStr">
        <is>
          <t>The architecture uses telemetry and AI/ML to anticipate needs (e.g., auto-scaling before a spike or self-healing before a crash).</t>
        </is>
      </c>
    </row>
    <row r="13">
      <c r="A13" s="30" t="n">
        <v>10</v>
      </c>
      <c r="B13" s="30" t="inlineStr">
        <is>
          <t>Purple</t>
        </is>
      </c>
      <c r="C13" s="30"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31" t="inlineStr">
        <is>
          <t>Scores below are automatically calculated from the four architecture worksheets. Enter scores on each tab to populate this dashboard.</t>
        </is>
      </c>
      <c r="B2" s="31" t="n"/>
      <c r="C2" s="31" t="n"/>
      <c r="D2" s="31"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2" t="inlineStr">
        <is>
          <t>OVERALL GC EA MATURITY SCORE</t>
        </is>
      </c>
      <c r="B10" s="32" t="n"/>
      <c r="C10" s="32" t="inlineStr">
        <is>
          <t>Awaiting input</t>
        </is>
      </c>
      <c r="D10" s="32"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3"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2026-09-17T19:19:14Z</dcterms:created>
  <dcterms:modified xsi:type="dcterms:W3CDTF">2026-09-17T19:19:14Z</dcterms:modified>
</cp:coreProperties>
</file>